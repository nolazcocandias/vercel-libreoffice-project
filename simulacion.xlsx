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can\Desktop\"/>
    </mc:Choice>
  </mc:AlternateContent>
  <xr:revisionPtr revIDLastSave="0" documentId="13_ncr:1_{194599F8-1A31-45D6-8247-1E6CD390C34C}" xr6:coauthVersionLast="47" xr6:coauthVersionMax="47" xr10:uidLastSave="{00000000-0000-0000-0000-000000000000}"/>
  <bookViews>
    <workbookView xWindow="-28920" yWindow="-1755" windowWidth="29040" windowHeight="15840" xr2:uid="{E3B62118-F0DB-4565-A0DB-E5ED42A4770A}"/>
  </bookViews>
  <sheets>
    <sheet name="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3" i="1" l="1"/>
  <c r="AE63" i="1"/>
  <c r="AD61" i="1"/>
  <c r="E21" i="1" l="1"/>
  <c r="D21" i="1"/>
  <c r="S12" i="1"/>
  <c r="J72" i="1" s="1"/>
  <c r="T12" i="1"/>
  <c r="K72" i="1" s="1"/>
  <c r="X12" i="1"/>
  <c r="O29" i="1" s="1"/>
  <c r="U11" i="1"/>
  <c r="L71" i="1" s="1"/>
  <c r="M11" i="1"/>
  <c r="R11" i="1"/>
  <c r="I28" i="1" s="1"/>
  <c r="S11" i="1"/>
  <c r="J71" i="1" s="1"/>
  <c r="G89" i="1"/>
  <c r="W68" i="1"/>
  <c r="W70" i="1" s="1"/>
  <c r="W71" i="1" s="1"/>
  <c r="N102" i="1"/>
  <c r="O102" i="1"/>
  <c r="L102" i="1"/>
  <c r="M102" i="1"/>
  <c r="N11" i="1"/>
  <c r="E71" i="1" s="1"/>
  <c r="W12" i="1"/>
  <c r="N29" i="1" s="1"/>
  <c r="V12" i="1"/>
  <c r="M72" i="1" s="1"/>
  <c r="X11" i="1"/>
  <c r="O28" i="1" s="1"/>
  <c r="W11" i="1"/>
  <c r="N71" i="1" s="1"/>
  <c r="V11" i="1"/>
  <c r="M71" i="1" s="1"/>
  <c r="K102" i="1"/>
  <c r="J102" i="1"/>
  <c r="I102" i="1"/>
  <c r="H102" i="1"/>
  <c r="G102" i="1"/>
  <c r="F102" i="1"/>
  <c r="E102" i="1"/>
  <c r="D102" i="1"/>
  <c r="AB94" i="1"/>
  <c r="AC94" i="1" s="1"/>
  <c r="AB89" i="1"/>
  <c r="F66" i="1"/>
  <c r="F65" i="1"/>
  <c r="X62" i="1"/>
  <c r="U12" i="1"/>
  <c r="L72" i="1" s="1"/>
  <c r="R12" i="1"/>
  <c r="I72" i="1" s="1"/>
  <c r="Q12" i="1"/>
  <c r="H72" i="1" s="1"/>
  <c r="O12" i="1"/>
  <c r="F72" i="1" s="1"/>
  <c r="N12" i="1"/>
  <c r="M12" i="1"/>
  <c r="D72" i="1" s="1"/>
  <c r="T11" i="1"/>
  <c r="K71" i="1" s="1"/>
  <c r="Q11" i="1"/>
  <c r="H28" i="1" s="1"/>
  <c r="P11" i="1"/>
  <c r="G28" i="1" s="1"/>
  <c r="O11" i="1"/>
  <c r="F71" i="1" s="1"/>
  <c r="N10" i="1"/>
  <c r="E27" i="1" s="1"/>
  <c r="M10" i="1"/>
  <c r="D27" i="1" s="1"/>
  <c r="P12" i="1"/>
  <c r="G72" i="1" s="1"/>
  <c r="C11" i="1"/>
  <c r="O10" i="1" s="1"/>
  <c r="F27" i="1" s="1"/>
  <c r="D71" i="1" l="1"/>
  <c r="V83" i="1" s="1"/>
  <c r="Y11" i="1"/>
  <c r="AC61" i="1" s="1"/>
  <c r="E72" i="1"/>
  <c r="P72" i="1" s="1"/>
  <c r="Y12" i="1"/>
  <c r="G9" i="1"/>
  <c r="G10" i="1" s="1"/>
  <c r="G11" i="1" s="1"/>
  <c r="AD83" i="1"/>
  <c r="AE83" i="1"/>
  <c r="D28" i="1"/>
  <c r="I29" i="1"/>
  <c r="L28" i="1"/>
  <c r="H29" i="1"/>
  <c r="K28" i="1"/>
  <c r="G29" i="1"/>
  <c r="J28" i="1"/>
  <c r="D29" i="1"/>
  <c r="F29" i="1"/>
  <c r="M29" i="1"/>
  <c r="E29" i="1"/>
  <c r="L29" i="1"/>
  <c r="K29" i="1"/>
  <c r="N28" i="1"/>
  <c r="F28" i="1"/>
  <c r="J29" i="1"/>
  <c r="M28" i="1"/>
  <c r="E28" i="1"/>
  <c r="M47" i="1"/>
  <c r="AE84" i="1" s="1"/>
  <c r="AE86" i="1" s="1"/>
  <c r="AE87" i="1" s="1"/>
  <c r="AE88" i="1" s="1"/>
  <c r="C12" i="1"/>
  <c r="P10" i="1" s="1"/>
  <c r="G27" i="1" s="1"/>
  <c r="D47" i="1"/>
  <c r="V84" i="1" s="1"/>
  <c r="V86" i="1" s="1"/>
  <c r="M13" i="1"/>
  <c r="H47" i="1"/>
  <c r="Z84" i="1" s="1"/>
  <c r="Z86" i="1" s="1"/>
  <c r="AC83" i="1"/>
  <c r="AB83" i="1"/>
  <c r="AB85" i="1" s="1"/>
  <c r="J47" i="1"/>
  <c r="AB84" i="1" s="1"/>
  <c r="AB86" i="1" s="1"/>
  <c r="AB87" i="1" s="1"/>
  <c r="AB88" i="1" s="1"/>
  <c r="E47" i="1"/>
  <c r="W84" i="1" s="1"/>
  <c r="W86" i="1" s="1"/>
  <c r="F47" i="1"/>
  <c r="X84" i="1" s="1"/>
  <c r="X86" i="1" s="1"/>
  <c r="I47" i="1"/>
  <c r="AA84" i="1" s="1"/>
  <c r="AA86" i="1" s="1"/>
  <c r="X83" i="1"/>
  <c r="G47" i="1"/>
  <c r="Y84" i="1" s="1"/>
  <c r="Y86" i="1" s="1"/>
  <c r="AD94" i="1"/>
  <c r="AE94" i="1" s="1"/>
  <c r="M14" i="1"/>
  <c r="K47" i="1"/>
  <c r="AC84" i="1" s="1"/>
  <c r="AC86" i="1" s="1"/>
  <c r="AC87" i="1" s="1"/>
  <c r="AC88" i="1" s="1"/>
  <c r="AC89" i="1"/>
  <c r="G71" i="1"/>
  <c r="Y83" i="1" s="1"/>
  <c r="L47" i="1"/>
  <c r="AD84" i="1" s="1"/>
  <c r="AD86" i="1" s="1"/>
  <c r="AD87" i="1" s="1"/>
  <c r="AD88" i="1" s="1"/>
  <c r="I71" i="1"/>
  <c r="AA83" i="1" s="1"/>
  <c r="AA85" i="1" s="1"/>
  <c r="H71" i="1"/>
  <c r="Z83" i="1" s="1"/>
  <c r="AC93" i="1" l="1"/>
  <c r="AC85" i="1"/>
  <c r="AE93" i="1"/>
  <c r="AE85" i="1"/>
  <c r="AD93" i="1"/>
  <c r="AD85" i="1"/>
  <c r="X93" i="1"/>
  <c r="X85" i="1"/>
  <c r="X88" i="1" s="1"/>
  <c r="Z93" i="1"/>
  <c r="Z85" i="1"/>
  <c r="Z88" i="1" s="1"/>
  <c r="Y93" i="1"/>
  <c r="Y85" i="1"/>
  <c r="Y88" i="1" s="1"/>
  <c r="AE61" i="1"/>
  <c r="AG61" i="1" s="1"/>
  <c r="AH61" i="1" s="1"/>
  <c r="AI61" i="1" s="1"/>
  <c r="AE64" i="1"/>
  <c r="AE65" i="1" s="1"/>
  <c r="V93" i="1"/>
  <c r="V85" i="1"/>
  <c r="V88" i="1" s="1"/>
  <c r="W83" i="1"/>
  <c r="C13" i="1"/>
  <c r="Q10" i="1" s="1"/>
  <c r="H27" i="1" s="1"/>
  <c r="D31" i="1"/>
  <c r="D73" i="1"/>
  <c r="V95" i="1" s="1"/>
  <c r="D30" i="1"/>
  <c r="AB93" i="1"/>
  <c r="W77" i="1"/>
  <c r="AA87" i="1"/>
  <c r="AA88" i="1" s="1"/>
  <c r="G12" i="1"/>
  <c r="P71" i="1"/>
  <c r="AA93" i="1"/>
  <c r="D45" i="1"/>
  <c r="N14" i="1"/>
  <c r="AF94" i="1"/>
  <c r="AG94" i="1" s="1"/>
  <c r="AD89" i="1"/>
  <c r="C14" i="1" l="1"/>
  <c r="R10" i="1" s="1"/>
  <c r="I27" i="1" s="1"/>
  <c r="V90" i="1"/>
  <c r="V91" i="1" s="1"/>
  <c r="W93" i="1"/>
  <c r="W85" i="1"/>
  <c r="W88" i="1" s="1"/>
  <c r="D93" i="1"/>
  <c r="I93" i="1"/>
  <c r="AA92" i="1"/>
  <c r="N13" i="1"/>
  <c r="E31" i="1"/>
  <c r="AB92" i="1"/>
  <c r="AE92" i="1"/>
  <c r="AD92" i="1"/>
  <c r="AC92" i="1"/>
  <c r="V96" i="1"/>
  <c r="O14" i="1"/>
  <c r="AE89" i="1"/>
  <c r="V82" i="1"/>
  <c r="G13" i="1"/>
  <c r="C15" i="1"/>
  <c r="E45" i="1" l="1"/>
  <c r="W82" i="1" s="1"/>
  <c r="O13" i="1"/>
  <c r="F31" i="1"/>
  <c r="E73" i="1"/>
  <c r="E30" i="1"/>
  <c r="AF89" i="1"/>
  <c r="S10" i="1"/>
  <c r="J27" i="1" s="1"/>
  <c r="C16" i="1"/>
  <c r="P14" i="1"/>
  <c r="G14" i="1"/>
  <c r="F45" i="1" l="1"/>
  <c r="X82" i="1" s="1"/>
  <c r="P13" i="1"/>
  <c r="G31" i="1"/>
  <c r="W90" i="1"/>
  <c r="W91" i="1" s="1"/>
  <c r="W95" i="1"/>
  <c r="W96" i="1" s="1"/>
  <c r="F73" i="1"/>
  <c r="F30" i="1"/>
  <c r="Q14" i="1"/>
  <c r="AG89" i="1"/>
  <c r="G15" i="1"/>
  <c r="T10" i="1"/>
  <c r="K27" i="1" s="1"/>
  <c r="C17" i="1"/>
  <c r="U10" i="1" l="1"/>
  <c r="L27" i="1" s="1"/>
  <c r="C18" i="1"/>
  <c r="G45" i="1"/>
  <c r="Y82" i="1" s="1"/>
  <c r="Q13" i="1"/>
  <c r="H45" i="1" s="1"/>
  <c r="H31" i="1"/>
  <c r="X90" i="1"/>
  <c r="X91" i="1" s="1"/>
  <c r="X95" i="1"/>
  <c r="X96" i="1" s="1"/>
  <c r="G73" i="1"/>
  <c r="G30" i="1"/>
  <c r="G16" i="1"/>
  <c r="G17" i="1" s="1"/>
  <c r="R14" i="1"/>
  <c r="C19" i="1" l="1"/>
  <c r="V10" i="1"/>
  <c r="M27" i="1" s="1"/>
  <c r="R13" i="1"/>
  <c r="I45" i="1" s="1"/>
  <c r="I31" i="1"/>
  <c r="Y90" i="1"/>
  <c r="Y91" i="1" s="1"/>
  <c r="Y95" i="1"/>
  <c r="Y96" i="1" s="1"/>
  <c r="H73" i="1"/>
  <c r="H30" i="1"/>
  <c r="G18" i="1"/>
  <c r="G19" i="1" s="1"/>
  <c r="G20" i="1" s="1"/>
  <c r="O71" i="1"/>
  <c r="O72" i="1"/>
  <c r="O47" i="1"/>
  <c r="AG84" i="1" s="1"/>
  <c r="AG86" i="1" s="1"/>
  <c r="AG87" i="1" s="1"/>
  <c r="AG88" i="1" s="1"/>
  <c r="Z82" i="1"/>
  <c r="S14" i="1"/>
  <c r="J31" i="1" s="1"/>
  <c r="C20" i="1" l="1"/>
  <c r="X10" i="1" s="1"/>
  <c r="O27" i="1" s="1"/>
  <c r="W10" i="1"/>
  <c r="N27" i="1" s="1"/>
  <c r="Z90" i="1"/>
  <c r="Z91" i="1" s="1"/>
  <c r="Z95" i="1"/>
  <c r="Z96" i="1" s="1"/>
  <c r="I73" i="1"/>
  <c r="I30" i="1"/>
  <c r="AG83" i="1"/>
  <c r="N72" i="1"/>
  <c r="AF83" i="1" s="1"/>
  <c r="AF85" i="1" s="1"/>
  <c r="N47" i="1"/>
  <c r="AF84" i="1" s="1"/>
  <c r="AF86" i="1" s="1"/>
  <c r="AF87" i="1" s="1"/>
  <c r="AF88" i="1" s="1"/>
  <c r="AA82" i="1"/>
  <c r="T14" i="1"/>
  <c r="K31" i="1" s="1"/>
  <c r="S13" i="1"/>
  <c r="AG93" i="1" l="1"/>
  <c r="AG85" i="1"/>
  <c r="AG92" i="1"/>
  <c r="AA95" i="1"/>
  <c r="AA96" i="1" s="1"/>
  <c r="AA90" i="1"/>
  <c r="AA91" i="1" s="1"/>
  <c r="J73" i="1"/>
  <c r="AB95" i="1" s="1"/>
  <c r="AB96" i="1" s="1"/>
  <c r="J30" i="1"/>
  <c r="AF92" i="1"/>
  <c r="AF93" i="1"/>
  <c r="J45" i="1"/>
  <c r="U14" i="1"/>
  <c r="L31" i="1" s="1"/>
  <c r="T13" i="1"/>
  <c r="K73" i="1" l="1"/>
  <c r="AC95" i="1" s="1"/>
  <c r="AC96" i="1" s="1"/>
  <c r="K30" i="1"/>
  <c r="AB90" i="1"/>
  <c r="AB91" i="1" s="1"/>
  <c r="K45" i="1"/>
  <c r="AC82" i="1" s="1"/>
  <c r="V14" i="1"/>
  <c r="U13" i="1"/>
  <c r="AB82" i="1"/>
  <c r="P73" i="1" l="1"/>
  <c r="AC90" i="1"/>
  <c r="AC91" i="1" s="1"/>
  <c r="L73" i="1"/>
  <c r="AD95" i="1" s="1"/>
  <c r="AD96" i="1" s="1"/>
  <c r="L30" i="1"/>
  <c r="V13" i="1"/>
  <c r="M45" i="1" s="1"/>
  <c r="AE82" i="1" s="1"/>
  <c r="M31" i="1"/>
  <c r="W14" i="1"/>
  <c r="N31" i="1" s="1"/>
  <c r="L45" i="1"/>
  <c r="D48" i="1" s="1"/>
  <c r="Q73" i="1" l="1"/>
  <c r="I94" i="1"/>
  <c r="G90" i="1" s="1"/>
  <c r="AD90" i="1"/>
  <c r="AD91" i="1" s="1"/>
  <c r="M73" i="1"/>
  <c r="M30" i="1"/>
  <c r="X14" i="1"/>
  <c r="W13" i="1"/>
  <c r="AD82" i="1"/>
  <c r="N73" i="1" l="1"/>
  <c r="AF90" i="1" s="1"/>
  <c r="AF91" i="1" s="1"/>
  <c r="N30" i="1"/>
  <c r="X13" i="1"/>
  <c r="O31" i="1"/>
  <c r="AE95" i="1"/>
  <c r="AE96" i="1" s="1"/>
  <c r="AE90" i="1"/>
  <c r="AE91" i="1" s="1"/>
  <c r="N45" i="1"/>
  <c r="AF82" i="1" s="1"/>
  <c r="O45" i="1" l="1"/>
  <c r="AG82" i="1" s="1"/>
  <c r="Y13" i="1"/>
  <c r="AF95" i="1"/>
  <c r="AF96" i="1" s="1"/>
  <c r="O73" i="1"/>
  <c r="O30" i="1"/>
  <c r="K54" i="1" s="1"/>
  <c r="L54" i="1" s="1"/>
  <c r="X50" i="1"/>
  <c r="Y37" i="1" s="1"/>
  <c r="Y46" i="1" s="1"/>
  <c r="Y55" i="1" l="1"/>
  <c r="Y58" i="1" s="1"/>
  <c r="D94" i="1" s="1"/>
  <c r="M54" i="1"/>
  <c r="AG95" i="1"/>
  <c r="AG96" i="1" s="1"/>
  <c r="AH96" i="1" s="1"/>
  <c r="AI96" i="1" s="1"/>
  <c r="AG90" i="1"/>
  <c r="AG91" i="1" s="1"/>
  <c r="AH91" i="1" s="1"/>
  <c r="AI91" i="1" s="1"/>
  <c r="L62" i="1"/>
  <c r="L56" i="1"/>
  <c r="V68" i="1" l="1"/>
  <c r="N54" i="1"/>
  <c r="M62" i="1"/>
  <c r="L64" i="1" s="1" a="1"/>
  <c r="L64" i="1" s="1"/>
  <c r="M56" i="1"/>
  <c r="L58" i="1" s="1" a="1"/>
  <c r="L58" i="1" s="1"/>
  <c r="H90" i="1"/>
  <c r="G93" i="1"/>
  <c r="F93" i="1" s="1"/>
  <c r="AB81" i="1"/>
  <c r="AC81" i="1"/>
  <c r="AE81" i="1"/>
  <c r="AD81" i="1"/>
  <c r="AF81" i="1"/>
  <c r="AG81" i="1"/>
  <c r="X49" i="1"/>
  <c r="X37" i="1" s="1"/>
  <c r="V81" i="1"/>
  <c r="W81" i="1"/>
  <c r="X81" i="1"/>
  <c r="Y81" i="1"/>
  <c r="Z81" i="1"/>
  <c r="AA81" i="1"/>
  <c r="D79" i="1" l="1"/>
  <c r="D77" i="1"/>
  <c r="X46" i="1"/>
  <c r="Y47" i="1" s="1" a="1"/>
  <c r="Y47" i="1" s="1"/>
  <c r="L77" i="1"/>
  <c r="K77" i="1"/>
  <c r="J77" i="1"/>
  <c r="I77" i="1"/>
  <c r="O77" i="1"/>
  <c r="N77" i="1"/>
  <c r="F77" i="1"/>
  <c r="H77" i="1"/>
  <c r="G77" i="1"/>
  <c r="M77" i="1"/>
  <c r="E77" i="1"/>
  <c r="D84" i="1" l="1"/>
  <c r="J93" i="1"/>
  <c r="D86" i="1"/>
  <c r="J94" i="1"/>
  <c r="V57" i="1"/>
  <c r="AD98" i="1" s="1"/>
  <c r="AD101" i="1" s="1"/>
  <c r="L104" i="1" s="1"/>
  <c r="E94" i="1"/>
  <c r="F94" i="1" s="1"/>
  <c r="E79" i="1"/>
  <c r="F79" i="1" s="1"/>
  <c r="G78" i="1"/>
  <c r="G85" i="1" s="1"/>
  <c r="G84" i="1"/>
  <c r="D78" i="1"/>
  <c r="D85" i="1" s="1"/>
  <c r="N78" i="1"/>
  <c r="N85" i="1" s="1"/>
  <c r="N84" i="1"/>
  <c r="H84" i="1"/>
  <c r="H78" i="1"/>
  <c r="H85" i="1" s="1"/>
  <c r="L78" i="1"/>
  <c r="L85" i="1" s="1"/>
  <c r="L84" i="1"/>
  <c r="F78" i="1"/>
  <c r="F85" i="1" s="1"/>
  <c r="F84" i="1"/>
  <c r="O78" i="1"/>
  <c r="O85" i="1" s="1"/>
  <c r="O84" i="1"/>
  <c r="I84" i="1"/>
  <c r="I78" i="1"/>
  <c r="I85" i="1" s="1"/>
  <c r="E78" i="1"/>
  <c r="E85" i="1" s="1"/>
  <c r="E84" i="1"/>
  <c r="J78" i="1"/>
  <c r="J85" i="1" s="1"/>
  <c r="J84" i="1"/>
  <c r="M78" i="1"/>
  <c r="M85" i="1" s="1"/>
  <c r="M84" i="1"/>
  <c r="K84" i="1"/>
  <c r="K78" i="1"/>
  <c r="K85" i="1" s="1"/>
  <c r="AB98" i="1" l="1"/>
  <c r="AB101" i="1" s="1"/>
  <c r="J104" i="1" s="1"/>
  <c r="V98" i="1"/>
  <c r="V101" i="1" s="1"/>
  <c r="D104" i="1" s="1"/>
  <c r="AC98" i="1"/>
  <c r="AC101" i="1" s="1"/>
  <c r="K104" i="1" s="1"/>
  <c r="AG98" i="1"/>
  <c r="AG101" i="1" s="1"/>
  <c r="O104" i="1" s="1"/>
  <c r="X98" i="1"/>
  <c r="X101" i="1" s="1"/>
  <c r="F104" i="1" s="1"/>
  <c r="AA98" i="1"/>
  <c r="AA101" i="1" s="1"/>
  <c r="I104" i="1" s="1"/>
  <c r="Z98" i="1"/>
  <c r="Z101" i="1" s="1"/>
  <c r="H104" i="1" s="1"/>
  <c r="Y98" i="1"/>
  <c r="Y101" i="1" s="1"/>
  <c r="G104" i="1" s="1"/>
  <c r="AE98" i="1"/>
  <c r="AE101" i="1" s="1"/>
  <c r="M104" i="1" s="1"/>
  <c r="W98" i="1"/>
  <c r="W101" i="1" s="1"/>
  <c r="E104" i="1" s="1"/>
  <c r="AF98" i="1"/>
  <c r="AF101" i="1" s="1"/>
  <c r="N104" i="1" s="1"/>
  <c r="E86" i="1"/>
  <c r="E87" i="1" s="1"/>
  <c r="E103" i="1" s="1"/>
  <c r="P84" i="1"/>
  <c r="D87" i="1"/>
  <c r="P85" i="1"/>
  <c r="F86" i="1"/>
  <c r="G79" i="1"/>
  <c r="P104" i="1" l="1"/>
  <c r="AH98" i="1"/>
  <c r="AI98" i="1" s="1"/>
  <c r="AH101" i="1"/>
  <c r="AI101" i="1" s="1"/>
  <c r="D88" i="1"/>
  <c r="D103" i="1"/>
  <c r="F87" i="1"/>
  <c r="E88" i="1"/>
  <c r="K93" i="1"/>
  <c r="G86" i="1"/>
  <c r="H79" i="1"/>
  <c r="AI99" i="1" l="1"/>
  <c r="AI102" i="1"/>
  <c r="AI92" i="1"/>
  <c r="AI97" i="1"/>
  <c r="G94" i="1"/>
  <c r="G95" i="1" s="1"/>
  <c r="G97" i="1" s="1"/>
  <c r="G98" i="1" s="1"/>
  <c r="F95" i="1"/>
  <c r="L93" i="1"/>
  <c r="F88" i="1"/>
  <c r="F103" i="1"/>
  <c r="H86" i="1"/>
  <c r="H87" i="1" s="1"/>
  <c r="H103" i="1" s="1"/>
  <c r="I79" i="1"/>
  <c r="G87" i="1"/>
  <c r="G103" i="1" s="1"/>
  <c r="I86" i="1" l="1"/>
  <c r="J79" i="1"/>
  <c r="G88" i="1"/>
  <c r="H88" i="1"/>
  <c r="K79" i="1" l="1"/>
  <c r="J86" i="1"/>
  <c r="J87" i="1" s="1"/>
  <c r="J103" i="1" s="1"/>
  <c r="I87" i="1"/>
  <c r="I103" i="1" s="1"/>
  <c r="I88" i="1" l="1"/>
  <c r="J88" i="1"/>
  <c r="K86" i="1"/>
  <c r="L79" i="1"/>
  <c r="L86" i="1" l="1"/>
  <c r="L87" i="1" s="1"/>
  <c r="L103" i="1" s="1"/>
  <c r="M79" i="1"/>
  <c r="K87" i="1"/>
  <c r="K103" i="1" s="1"/>
  <c r="K88" i="1" l="1"/>
  <c r="M86" i="1"/>
  <c r="M87" i="1" s="1"/>
  <c r="M103" i="1" s="1"/>
  <c r="N79" i="1"/>
  <c r="N86" i="1" l="1"/>
  <c r="N87" i="1" s="1"/>
  <c r="N103" i="1" s="1"/>
  <c r="O79" i="1"/>
  <c r="O86" i="1" s="1"/>
  <c r="O87" i="1" l="1"/>
  <c r="O103" i="1" s="1"/>
  <c r="P103" i="1" s="1"/>
  <c r="P105" i="1" s="1"/>
  <c r="P86" i="1"/>
  <c r="P87" i="1" l="1"/>
  <c r="K94" i="1"/>
  <c r="K95" i="1" l="1"/>
  <c r="L94" i="1"/>
  <c r="L95" i="1" l="1"/>
  <c r="J97" i="1" s="1"/>
  <c r="J100" i="1" l="1"/>
  <c r="J98" i="1"/>
  <c r="J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<sst xmlns="http://schemas.openxmlformats.org/spreadsheetml/2006/main" count="191" uniqueCount="144">
  <si>
    <t>SISTEMA PALLETPARKING</t>
  </si>
  <si>
    <t>SISTEMA TRADICIONAL</t>
  </si>
  <si>
    <t>Posiciones pallets equivalentes</t>
  </si>
  <si>
    <t>1mt x 1,2mt x 1,5mt</t>
  </si>
  <si>
    <t xml:space="preserve">in </t>
  </si>
  <si>
    <t>out</t>
  </si>
  <si>
    <t xml:space="preserve"> +</t>
  </si>
  <si>
    <t>CALCULOS</t>
  </si>
  <si>
    <t>Estimaciones máximos</t>
  </si>
  <si>
    <t>mov</t>
  </si>
  <si>
    <t xml:space="preserve">max dia </t>
  </si>
  <si>
    <t>Del total  in + out</t>
  </si>
  <si>
    <t>meses</t>
  </si>
  <si>
    <t>in</t>
  </si>
  <si>
    <t>tasa max almacenaje</t>
  </si>
  <si>
    <t>menos el inicial :</t>
  </si>
  <si>
    <t>Almacenaje prm</t>
  </si>
  <si>
    <t>m2</t>
  </si>
  <si>
    <t>Alm final</t>
  </si>
  <si>
    <t>primer mes de stock promedio</t>
  </si>
  <si>
    <t>el 9% de las entradas como stoCk inicial</t>
  </si>
  <si>
    <t>más el stcok final, lo que entró menos lo que salió,  toto dividdvo por 2</t>
  </si>
  <si>
    <t>M2</t>
  </si>
  <si>
    <t>Estimaciones máximos diarios</t>
  </si>
  <si>
    <t>Máx alm dia</t>
  </si>
  <si>
    <t>Máx mov día</t>
  </si>
  <si>
    <t>MESES</t>
  </si>
  <si>
    <t>calcular</t>
  </si>
  <si>
    <t>con estos datos se procede a calcular los costos de cada alternativa : PalletParking y Tradicional</t>
  </si>
  <si>
    <t>pallets</t>
  </si>
  <si>
    <t>período</t>
  </si>
  <si>
    <t>Costo con PalletPArking</t>
  </si>
  <si>
    <t>ALMACENAJE</t>
  </si>
  <si>
    <t>precio almacenaje</t>
  </si>
  <si>
    <t>uf/pp mes</t>
  </si>
  <si>
    <t>pallets almacenados</t>
  </si>
  <si>
    <t>c gg comunes</t>
  </si>
  <si>
    <t>uf</t>
  </si>
  <si>
    <t>Bodega</t>
  </si>
  <si>
    <t>UF m2</t>
  </si>
  <si>
    <t>uf almje. mes</t>
  </si>
  <si>
    <t>tasa pallet m2 a piso</t>
  </si>
  <si>
    <t>apilables  no</t>
  </si>
  <si>
    <t>total m2</t>
  </si>
  <si>
    <t>Costos Variables</t>
  </si>
  <si>
    <t>Gastos operación</t>
  </si>
  <si>
    <t>Costo in / out</t>
  </si>
  <si>
    <t xml:space="preserve">uf/pp </t>
  </si>
  <si>
    <t>grua</t>
  </si>
  <si>
    <t>dias</t>
  </si>
  <si>
    <t>IN  y OUT</t>
  </si>
  <si>
    <t>Fijo</t>
  </si>
  <si>
    <t>Meses permanencia</t>
  </si>
  <si>
    <t>uf in &amp; out</t>
  </si>
  <si>
    <t>operarios</t>
  </si>
  <si>
    <t>extra</t>
  </si>
  <si>
    <t>dia</t>
  </si>
  <si>
    <t>gastos seg y otros</t>
  </si>
  <si>
    <t>por m2</t>
  </si>
  <si>
    <t>esc menor</t>
  </si>
  <si>
    <t>Calculo costos totales con PP</t>
  </si>
  <si>
    <t>horas</t>
  </si>
  <si>
    <t>dia/operario</t>
  </si>
  <si>
    <t>tenemos como datos lo siguiente:</t>
  </si>
  <si>
    <t>jefe</t>
  </si>
  <si>
    <t>hora</t>
  </si>
  <si>
    <t>in/out</t>
  </si>
  <si>
    <t>Total</t>
  </si>
  <si>
    <t>total</t>
  </si>
  <si>
    <t>Precios a utilizar</t>
  </si>
  <si>
    <t>Gastos variables</t>
  </si>
  <si>
    <t>Transporte personal</t>
  </si>
  <si>
    <t>Se toman los siguientes valores:</t>
  </si>
  <si>
    <t>Estimaciones máximos diarios pallets</t>
  </si>
  <si>
    <t>alm m2</t>
  </si>
  <si>
    <t>Valores en uf</t>
  </si>
  <si>
    <t>tot mov</t>
  </si>
  <si>
    <t>horas tot</t>
  </si>
  <si>
    <t>horas dia max</t>
  </si>
  <si>
    <t>costo operarios</t>
  </si>
  <si>
    <t>costo hora operarios</t>
  </si>
  <si>
    <t>costo jefe</t>
  </si>
  <si>
    <t>total MO</t>
  </si>
  <si>
    <t xml:space="preserve">Pallet Parking </t>
  </si>
  <si>
    <t>ch$</t>
  </si>
  <si>
    <t>Tradicional</t>
  </si>
  <si>
    <t>Grua</t>
  </si>
  <si>
    <t>Combustible</t>
  </si>
  <si>
    <t>tot tot</t>
  </si>
  <si>
    <t>Gastos varios</t>
  </si>
  <si>
    <t>Ahorro</t>
  </si>
  <si>
    <t xml:space="preserve">Almacenaje </t>
  </si>
  <si>
    <t>PalletParking</t>
  </si>
  <si>
    <t>Bodega arrendada</t>
  </si>
  <si>
    <t>Costos ocultos</t>
  </si>
  <si>
    <t>personal c licencia</t>
  </si>
  <si>
    <t>Grua no funciona</t>
  </si>
  <si>
    <t>Traslado de personal</t>
  </si>
  <si>
    <t>Aimentación personal</t>
  </si>
  <si>
    <t>Comedor</t>
  </si>
  <si>
    <t>mntn baños</t>
  </si>
  <si>
    <t>Seguirdad</t>
  </si>
  <si>
    <t xml:space="preserve">Robos </t>
  </si>
  <si>
    <t>Seguros</t>
  </si>
  <si>
    <t>Período</t>
  </si>
  <si>
    <t>periodo</t>
  </si>
  <si>
    <t>Velocidad de servicio</t>
  </si>
  <si>
    <t xml:space="preserve">disponibilidad bodega </t>
  </si>
  <si>
    <t xml:space="preserve">Costos de operar una bodega sin considerar </t>
  </si>
  <si>
    <t>Nota: Asumiendo posición pallet equivalente a 1,8 m3</t>
  </si>
  <si>
    <t>Stock Final</t>
  </si>
  <si>
    <t>PRECIOS MERCADO X M2</t>
  </si>
  <si>
    <t>FLUJOS</t>
  </si>
  <si>
    <t xml:space="preserve">Resultado PALLETS </t>
  </si>
  <si>
    <t>Max alm dìa</t>
  </si>
  <si>
    <t>Max pp mes</t>
  </si>
  <si>
    <t>pallets alm prom</t>
  </si>
  <si>
    <t>Tpte y limpieza</t>
  </si>
  <si>
    <t xml:space="preserve">Pallets </t>
  </si>
  <si>
    <t>Meses</t>
  </si>
  <si>
    <t>Hasta ___ meses</t>
  </si>
  <si>
    <t>Mensual</t>
  </si>
  <si>
    <t>max pp mes</t>
  </si>
  <si>
    <t>Stock pp prom</t>
  </si>
  <si>
    <t>pallets in</t>
  </si>
  <si>
    <t>pallets out</t>
  </si>
  <si>
    <t>Alm pp  final</t>
  </si>
  <si>
    <t>Flujo pallets</t>
  </si>
  <si>
    <t xml:space="preserve">total </t>
  </si>
  <si>
    <t xml:space="preserve">tot mov pp </t>
  </si>
  <si>
    <t>uf pallet</t>
  </si>
  <si>
    <t>pp in</t>
  </si>
  <si>
    <t>pp x cntr</t>
  </si>
  <si>
    <t>cntr</t>
  </si>
  <si>
    <t>uf cntr</t>
  </si>
  <si>
    <t>arriednmo x hora grua</t>
  </si>
  <si>
    <t>hrs</t>
  </si>
  <si>
    <t>tot alm m2</t>
  </si>
  <si>
    <t xml:space="preserve">tot alm pp prom </t>
  </si>
  <si>
    <t>uf / m2</t>
  </si>
  <si>
    <t>Pallets y m2</t>
  </si>
  <si>
    <t>Máx alm pp  dia</t>
  </si>
  <si>
    <t>operarios x hra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</si>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</sst>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£&quot;* #,##0_-;\-&quot;£&quot;* #,##0_-;_-&quot;£&quot;* &quot;-&quot;_-;_-@_-"/>
    <numFmt numFmtId="165" formatCode="_-* #,##0_-;\-* #,##0_-;_-* &quot;-&quot;_-;_-@_-"/>
    <numFmt numFmtId="166" formatCode="_-* #,##0.00_-;\-* #,##0.00_-;_-* &quot;-&quot;??_-;_-@_-"/>
    <numFmt numFmtId="167" formatCode="0.000"/>
    <numFmt numFmtId="168" formatCode="_-[$$-409]* #,##0_ ;_-[$$-409]* \-#,##0\ ;_-[$$-409]* &quot;-&quot;??_ ;_-@_ "/>
    <numFmt numFmtId="169" formatCode="_ * #,##0.000_ ;_ * \-#,##0.000_ ;_ * &quot;-&quot;_ ;_ @_ "/>
    <numFmt numFmtId="170" formatCode="_ * #,##0.000_ ;_ * \-#,##0.000_ ;_ * &quot;-&quot;???_ ;_ @_ "/>
    <numFmt numFmtId="171" formatCode="_-* #,##0.0_-;\-* #,##0.0_-;_-* &quot;-&quot;?_-;_-@_-"/>
    <numFmt numFmtId="172" formatCode="_ * #,##0.00_ ;_ * \-#,##0.00_ ;_ * &quot;-&quot;_ ;_ @_ "/>
    <numFmt numFmtId="173" formatCode="_ * #,##0.0_ ;_ * \-#,##0.0_ ;_ * &quot;-&quot;_ ;_ @_ "/>
    <numFmt numFmtId="174" formatCode="0.0%"/>
    <numFmt numFmtId="175" formatCode="_ * #,##0.0_ ;_ * \-#,##0.0_ ;_ * &quot;-&quot;?_ ;_ @_ "/>
    <numFmt numFmtId="176" formatCode="_-* #,##0.00_-;\-* #,##0.00_-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4" borderId="6" xfId="0" applyFont="1" applyFill="1" applyBorder="1"/>
    <xf numFmtId="0" fontId="0" fillId="4" borderId="6" xfId="0" applyFill="1" applyBorder="1"/>
    <xf numFmtId="9" fontId="1" fillId="0" borderId="0" xfId="0" applyNumberFormat="1" applyFont="1"/>
    <xf numFmtId="0" fontId="4" fillId="5" borderId="0" xfId="0" applyFont="1" applyFill="1"/>
    <xf numFmtId="0" fontId="1" fillId="0" borderId="7" xfId="0" applyFont="1" applyBorder="1"/>
    <xf numFmtId="0" fontId="1" fillId="0" borderId="6" xfId="0" applyFont="1" applyBorder="1"/>
    <xf numFmtId="0" fontId="0" fillId="0" borderId="6" xfId="0" applyBorder="1"/>
    <xf numFmtId="0" fontId="1" fillId="0" borderId="8" xfId="0" applyFont="1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9" fontId="1" fillId="0" borderId="11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1" xfId="0" applyBorder="1"/>
    <xf numFmtId="0" fontId="0" fillId="0" borderId="10" xfId="0" applyBorder="1" applyAlignment="1">
      <alignment horizontal="left" indent="1"/>
    </xf>
    <xf numFmtId="0" fontId="1" fillId="0" borderId="13" xfId="0" applyFont="1" applyBorder="1"/>
    <xf numFmtId="0" fontId="1" fillId="0" borderId="14" xfId="0" applyFont="1" applyBorder="1"/>
    <xf numFmtId="0" fontId="0" fillId="0" borderId="12" xfId="0" applyBorder="1"/>
    <xf numFmtId="165" fontId="1" fillId="0" borderId="11" xfId="2" applyFont="1" applyBorder="1"/>
    <xf numFmtId="165" fontId="1" fillId="0" borderId="0" xfId="0" applyNumberFormat="1" applyFont="1"/>
    <xf numFmtId="0" fontId="0" fillId="4" borderId="4" xfId="0" applyFill="1" applyBorder="1"/>
    <xf numFmtId="0" fontId="2" fillId="4" borderId="0" xfId="0" applyFont="1" applyFill="1"/>
    <xf numFmtId="0" fontId="1" fillId="0" borderId="15" xfId="0" applyFont="1" applyBorder="1"/>
    <xf numFmtId="0" fontId="1" fillId="0" borderId="16" xfId="0" applyFont="1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167" fontId="1" fillId="0" borderId="19" xfId="0" applyNumberFormat="1" applyFont="1" applyBorder="1"/>
    <xf numFmtId="167" fontId="1" fillId="0" borderId="20" xfId="0" applyNumberFormat="1" applyFont="1" applyBorder="1"/>
    <xf numFmtId="167" fontId="1" fillId="0" borderId="0" xfId="0" applyNumberFormat="1" applyFont="1"/>
    <xf numFmtId="167" fontId="0" fillId="0" borderId="0" xfId="0" applyNumberFormat="1"/>
    <xf numFmtId="0" fontId="0" fillId="2" borderId="21" xfId="0" applyFill="1" applyBorder="1"/>
    <xf numFmtId="41" fontId="1" fillId="0" borderId="22" xfId="0" applyNumberFormat="1" applyFont="1" applyBorder="1"/>
    <xf numFmtId="167" fontId="1" fillId="0" borderId="23" xfId="0" applyNumberFormat="1" applyFont="1" applyBorder="1"/>
    <xf numFmtId="167" fontId="1" fillId="0" borderId="24" xfId="0" applyNumberFormat="1" applyFont="1" applyBorder="1"/>
    <xf numFmtId="0" fontId="3" fillId="0" borderId="1" xfId="0" applyFont="1" applyBorder="1"/>
    <xf numFmtId="0" fontId="0" fillId="0" borderId="2" xfId="0" applyBorder="1"/>
    <xf numFmtId="168" fontId="0" fillId="0" borderId="0" xfId="3" applyNumberFormat="1" applyFont="1" applyBorder="1"/>
    <xf numFmtId="164" fontId="0" fillId="0" borderId="0" xfId="3" applyFont="1" applyBorder="1"/>
    <xf numFmtId="169" fontId="1" fillId="0" borderId="19" xfId="2" applyNumberFormat="1" applyFont="1" applyBorder="1"/>
    <xf numFmtId="169" fontId="1" fillId="0" borderId="26" xfId="2" applyNumberFormat="1" applyFont="1" applyBorder="1"/>
    <xf numFmtId="169" fontId="1" fillId="0" borderId="0" xfId="2" applyNumberFormat="1" applyFont="1" applyBorder="1"/>
    <xf numFmtId="169" fontId="0" fillId="0" borderId="0" xfId="2" applyNumberFormat="1" applyFont="1" applyBorder="1"/>
    <xf numFmtId="169" fontId="1" fillId="0" borderId="25" xfId="2" applyNumberFormat="1" applyFont="1" applyBorder="1"/>
    <xf numFmtId="169" fontId="1" fillId="0" borderId="27" xfId="2" applyNumberFormat="1" applyFont="1" applyBorder="1"/>
    <xf numFmtId="164" fontId="0" fillId="0" borderId="13" xfId="3" applyFont="1" applyBorder="1"/>
    <xf numFmtId="0" fontId="0" fillId="0" borderId="28" xfId="0" applyBorder="1"/>
    <xf numFmtId="0" fontId="0" fillId="0" borderId="13" xfId="0" applyBorder="1"/>
    <xf numFmtId="9" fontId="0" fillId="0" borderId="13" xfId="4" applyFont="1" applyBorder="1"/>
    <xf numFmtId="0" fontId="0" fillId="0" borderId="7" xfId="0" applyBorder="1"/>
    <xf numFmtId="41" fontId="1" fillId="0" borderId="11" xfId="0" applyNumberFormat="1" applyFont="1" applyBorder="1"/>
    <xf numFmtId="170" fontId="1" fillId="0" borderId="0" xfId="0" applyNumberFormat="1" applyFont="1"/>
    <xf numFmtId="169" fontId="1" fillId="0" borderId="11" xfId="0" applyNumberFormat="1" applyFont="1" applyBorder="1"/>
    <xf numFmtId="167" fontId="1" fillId="0" borderId="11" xfId="0" applyNumberFormat="1" applyFont="1" applyBorder="1"/>
    <xf numFmtId="172" fontId="1" fillId="0" borderId="11" xfId="0" applyNumberFormat="1" applyFont="1" applyBorder="1"/>
    <xf numFmtId="43" fontId="1" fillId="0" borderId="5" xfId="0" applyNumberFormat="1" applyFont="1" applyBorder="1"/>
    <xf numFmtId="174" fontId="1" fillId="0" borderId="0" xfId="4" applyNumberFormat="1" applyFont="1"/>
    <xf numFmtId="166" fontId="1" fillId="0" borderId="0" xfId="0" applyNumberFormat="1" applyFont="1"/>
    <xf numFmtId="168" fontId="1" fillId="0" borderId="0" xfId="0" applyNumberFormat="1" applyFont="1"/>
    <xf numFmtId="0" fontId="0" fillId="0" borderId="29" xfId="0" applyBorder="1"/>
    <xf numFmtId="0" fontId="0" fillId="0" borderId="25" xfId="0" applyBorder="1"/>
    <xf numFmtId="164" fontId="1" fillId="0" borderId="0" xfId="3" applyFont="1" applyBorder="1"/>
    <xf numFmtId="9" fontId="1" fillId="0" borderId="0" xfId="4" applyFont="1" applyBorder="1"/>
    <xf numFmtId="0" fontId="1" fillId="0" borderId="29" xfId="0" applyFont="1" applyBorder="1"/>
    <xf numFmtId="172" fontId="1" fillId="0" borderId="6" xfId="0" applyNumberFormat="1" applyFont="1" applyBorder="1"/>
    <xf numFmtId="164" fontId="1" fillId="0" borderId="6" xfId="3" applyFont="1" applyBorder="1"/>
    <xf numFmtId="43" fontId="1" fillId="0" borderId="6" xfId="0" applyNumberFormat="1" applyFont="1" applyBorder="1"/>
    <xf numFmtId="43" fontId="1" fillId="0" borderId="0" xfId="0" applyNumberFormat="1" applyFont="1"/>
    <xf numFmtId="10" fontId="1" fillId="0" borderId="0" xfId="4" applyNumberFormat="1" applyFont="1" applyBorder="1"/>
    <xf numFmtId="168" fontId="0" fillId="0" borderId="0" xfId="2" applyNumberFormat="1" applyFont="1" applyBorder="1"/>
    <xf numFmtId="0" fontId="0" fillId="0" borderId="31" xfId="0" applyBorder="1"/>
    <xf numFmtId="0" fontId="0" fillId="0" borderId="3" xfId="0" applyBorder="1"/>
    <xf numFmtId="165" fontId="1" fillId="0" borderId="7" xfId="0" applyNumberFormat="1" applyFont="1" applyBorder="1"/>
    <xf numFmtId="169" fontId="0" fillId="0" borderId="25" xfId="2" applyNumberFormat="1" applyFont="1" applyFill="1" applyBorder="1"/>
    <xf numFmtId="172" fontId="1" fillId="0" borderId="0" xfId="0" applyNumberFormat="1" applyFont="1"/>
    <xf numFmtId="166" fontId="1" fillId="0" borderId="0" xfId="1" applyFont="1"/>
    <xf numFmtId="164" fontId="0" fillId="0" borderId="5" xfId="3" applyFont="1" applyBorder="1"/>
    <xf numFmtId="42" fontId="0" fillId="0" borderId="5" xfId="0" applyNumberFormat="1" applyBorder="1"/>
    <xf numFmtId="164" fontId="0" fillId="0" borderId="32" xfId="3" applyFont="1" applyBorder="1"/>
    <xf numFmtId="42" fontId="0" fillId="0" borderId="8" xfId="0" applyNumberFormat="1" applyBorder="1"/>
    <xf numFmtId="0" fontId="0" fillId="0" borderId="26" xfId="0" applyBorder="1"/>
    <xf numFmtId="0" fontId="0" fillId="3" borderId="11" xfId="0" applyFill="1" applyBorder="1"/>
    <xf numFmtId="0" fontId="1" fillId="3" borderId="11" xfId="0" applyFont="1" applyFill="1" applyBorder="1"/>
    <xf numFmtId="41" fontId="1" fillId="0" borderId="0" xfId="0" applyNumberFormat="1" applyFont="1"/>
    <xf numFmtId="165" fontId="1" fillId="0" borderId="6" xfId="0" applyNumberFormat="1" applyFont="1" applyBorder="1"/>
    <xf numFmtId="10" fontId="1" fillId="0" borderId="0" xfId="0" applyNumberFormat="1" applyFont="1"/>
    <xf numFmtId="165" fontId="2" fillId="0" borderId="0" xfId="0" applyNumberFormat="1" applyFont="1"/>
    <xf numFmtId="171" fontId="1" fillId="0" borderId="0" xfId="0" applyNumberFormat="1" applyFont="1"/>
    <xf numFmtId="41" fontId="0" fillId="0" borderId="7" xfId="0" applyNumberFormat="1" applyBorder="1"/>
    <xf numFmtId="0" fontId="0" fillId="0" borderId="8" xfId="0" applyBorder="1"/>
    <xf numFmtId="168" fontId="0" fillId="0" borderId="0" xfId="0" applyNumberFormat="1"/>
    <xf numFmtId="168" fontId="1" fillId="0" borderId="5" xfId="0" applyNumberFormat="1" applyFont="1" applyBorder="1"/>
    <xf numFmtId="0" fontId="2" fillId="0" borderId="0" xfId="0" applyFont="1"/>
    <xf numFmtId="41" fontId="5" fillId="2" borderId="33" xfId="0" applyNumberFormat="1" applyFont="1" applyFill="1" applyBorder="1"/>
    <xf numFmtId="0" fontId="0" fillId="6" borderId="0" xfId="0" applyFill="1"/>
    <xf numFmtId="0" fontId="1" fillId="6" borderId="0" xfId="0" applyFont="1" applyFill="1"/>
    <xf numFmtId="0" fontId="0" fillId="6" borderId="25" xfId="0" applyFill="1" applyBorder="1"/>
    <xf numFmtId="0" fontId="0" fillId="6" borderId="21" xfId="0" applyFill="1" applyBorder="1"/>
    <xf numFmtId="0" fontId="1" fillId="0" borderId="35" xfId="0" applyFont="1" applyBorder="1"/>
    <xf numFmtId="165" fontId="1" fillId="0" borderId="36" xfId="0" applyNumberFormat="1" applyFont="1" applyBorder="1"/>
    <xf numFmtId="0" fontId="0" fillId="6" borderId="1" xfId="0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11" xfId="0" applyFont="1" applyFill="1" applyBorder="1"/>
    <xf numFmtId="0" fontId="1" fillId="6" borderId="1" xfId="0" applyFont="1" applyFill="1" applyBorder="1"/>
    <xf numFmtId="0" fontId="0" fillId="6" borderId="23" xfId="0" applyFill="1" applyBorder="1"/>
    <xf numFmtId="9" fontId="1" fillId="6" borderId="0" xfId="4" applyFont="1" applyFill="1" applyBorder="1"/>
    <xf numFmtId="0" fontId="1" fillId="6" borderId="29" xfId="0" applyFont="1" applyFill="1" applyBorder="1"/>
    <xf numFmtId="168" fontId="1" fillId="6" borderId="26" xfId="0" applyNumberFormat="1" applyFont="1" applyFill="1" applyBorder="1"/>
    <xf numFmtId="168" fontId="1" fillId="6" borderId="0" xfId="0" applyNumberFormat="1" applyFont="1" applyFill="1"/>
    <xf numFmtId="0" fontId="1" fillId="6" borderId="7" xfId="0" applyFont="1" applyFill="1" applyBorder="1"/>
    <xf numFmtId="0" fontId="1" fillId="6" borderId="6" xfId="0" applyFont="1" applyFill="1" applyBorder="1"/>
    <xf numFmtId="165" fontId="1" fillId="0" borderId="5" xfId="2" applyFont="1" applyBorder="1"/>
    <xf numFmtId="0" fontId="1" fillId="6" borderId="25" xfId="0" applyFont="1" applyFill="1" applyBorder="1"/>
    <xf numFmtId="168" fontId="1" fillId="6" borderId="29" xfId="0" applyNumberFormat="1" applyFont="1" applyFill="1" applyBorder="1"/>
    <xf numFmtId="9" fontId="1" fillId="6" borderId="26" xfId="4" applyFont="1" applyFill="1" applyBorder="1"/>
    <xf numFmtId="0" fontId="1" fillId="6" borderId="8" xfId="0" applyFont="1" applyFill="1" applyBorder="1"/>
    <xf numFmtId="166" fontId="1" fillId="6" borderId="1" xfId="1" applyFont="1" applyFill="1" applyBorder="1"/>
    <xf numFmtId="166" fontId="1" fillId="6" borderId="3" xfId="1" applyFont="1" applyFill="1" applyBorder="1"/>
    <xf numFmtId="166" fontId="1" fillId="6" borderId="7" xfId="1" applyFont="1" applyFill="1" applyBorder="1"/>
    <xf numFmtId="166" fontId="1" fillId="6" borderId="8" xfId="1" applyFont="1" applyFill="1" applyBorder="1"/>
    <xf numFmtId="0" fontId="3" fillId="6" borderId="21" xfId="0" applyFont="1" applyFill="1" applyBorder="1"/>
    <xf numFmtId="0" fontId="0" fillId="6" borderId="26" xfId="0" applyFill="1" applyBorder="1"/>
    <xf numFmtId="0" fontId="1" fillId="6" borderId="37" xfId="0" applyFont="1" applyFill="1" applyBorder="1"/>
    <xf numFmtId="43" fontId="1" fillId="6" borderId="19" xfId="0" applyNumberFormat="1" applyFont="1" applyFill="1" applyBorder="1"/>
    <xf numFmtId="165" fontId="1" fillId="6" borderId="19" xfId="2" applyFont="1" applyFill="1" applyBorder="1"/>
    <xf numFmtId="169" fontId="1" fillId="6" borderId="19" xfId="0" applyNumberFormat="1" applyFont="1" applyFill="1" applyBorder="1"/>
    <xf numFmtId="43" fontId="1" fillId="6" borderId="20" xfId="0" applyNumberFormat="1" applyFont="1" applyFill="1" applyBorder="1"/>
    <xf numFmtId="168" fontId="1" fillId="6" borderId="41" xfId="3" applyNumberFormat="1" applyFont="1" applyFill="1" applyBorder="1"/>
    <xf numFmtId="0" fontId="0" fillId="6" borderId="42" xfId="0" applyFill="1" applyBorder="1"/>
    <xf numFmtId="41" fontId="1" fillId="6" borderId="6" xfId="0" applyNumberFormat="1" applyFont="1" applyFill="1" applyBorder="1"/>
    <xf numFmtId="43" fontId="1" fillId="6" borderId="27" xfId="0" applyNumberFormat="1" applyFont="1" applyFill="1" applyBorder="1"/>
    <xf numFmtId="165" fontId="1" fillId="6" borderId="27" xfId="2" applyFont="1" applyFill="1" applyBorder="1"/>
    <xf numFmtId="169" fontId="1" fillId="6" borderId="27" xfId="0" applyNumberFormat="1" applyFont="1" applyFill="1" applyBorder="1"/>
    <xf numFmtId="172" fontId="1" fillId="6" borderId="39" xfId="0" applyNumberFormat="1" applyFont="1" applyFill="1" applyBorder="1"/>
    <xf numFmtId="168" fontId="1" fillId="6" borderId="34" xfId="3" applyNumberFormat="1" applyFont="1" applyFill="1" applyBorder="1"/>
    <xf numFmtId="0" fontId="0" fillId="6" borderId="24" xfId="0" applyFill="1" applyBorder="1"/>
    <xf numFmtId="43" fontId="1" fillId="6" borderId="40" xfId="0" applyNumberFormat="1" applyFont="1" applyFill="1" applyBorder="1"/>
    <xf numFmtId="168" fontId="1" fillId="6" borderId="21" xfId="3" applyNumberFormat="1" applyFont="1" applyFill="1" applyBorder="1"/>
    <xf numFmtId="0" fontId="0" fillId="6" borderId="2" xfId="0" applyFill="1" applyBorder="1"/>
    <xf numFmtId="0" fontId="3" fillId="6" borderId="1" xfId="0" applyFont="1" applyFill="1" applyBorder="1"/>
    <xf numFmtId="43" fontId="1" fillId="6" borderId="43" xfId="0" applyNumberFormat="1" applyFont="1" applyFill="1" applyBorder="1"/>
    <xf numFmtId="41" fontId="1" fillId="6" borderId="19" xfId="0" applyNumberFormat="1" applyFont="1" applyFill="1" applyBorder="1"/>
    <xf numFmtId="41" fontId="1" fillId="6" borderId="27" xfId="0" applyNumberFormat="1" applyFont="1" applyFill="1" applyBorder="1"/>
    <xf numFmtId="164" fontId="0" fillId="0" borderId="6" xfId="0" applyNumberFormat="1" applyBorder="1"/>
    <xf numFmtId="175" fontId="1" fillId="0" borderId="0" xfId="0" applyNumberFormat="1" applyFont="1"/>
    <xf numFmtId="0" fontId="0" fillId="6" borderId="11" xfId="0" applyFill="1" applyBorder="1"/>
    <xf numFmtId="0" fontId="1" fillId="6" borderId="10" xfId="0" applyFont="1" applyFill="1" applyBorder="1"/>
    <xf numFmtId="0" fontId="0" fillId="6" borderId="12" xfId="0" applyFill="1" applyBorder="1"/>
    <xf numFmtId="1" fontId="1" fillId="6" borderId="10" xfId="0" applyNumberFormat="1" applyFont="1" applyFill="1" applyBorder="1"/>
    <xf numFmtId="1" fontId="1" fillId="6" borderId="12" xfId="0" applyNumberFormat="1" applyFont="1" applyFill="1" applyBorder="1"/>
    <xf numFmtId="165" fontId="1" fillId="6" borderId="11" xfId="2" applyFont="1" applyFill="1" applyBorder="1"/>
    <xf numFmtId="173" fontId="1" fillId="6" borderId="0" xfId="2" applyNumberFormat="1" applyFont="1" applyFill="1" applyBorder="1"/>
    <xf numFmtId="165" fontId="1" fillId="6" borderId="0" xfId="2" applyFont="1" applyFill="1" applyBorder="1"/>
    <xf numFmtId="0" fontId="0" fillId="6" borderId="13" xfId="0" applyFill="1" applyBorder="1"/>
    <xf numFmtId="168" fontId="1" fillId="6" borderId="13" xfId="3" applyNumberFormat="1" applyFont="1" applyFill="1" applyBorder="1"/>
    <xf numFmtId="176" fontId="1" fillId="6" borderId="5" xfId="2" applyNumberFormat="1" applyFont="1" applyFill="1" applyBorder="1"/>
    <xf numFmtId="168" fontId="1" fillId="6" borderId="0" xfId="3" applyNumberFormat="1" applyFont="1" applyFill="1" applyBorder="1"/>
    <xf numFmtId="9" fontId="1" fillId="6" borderId="5" xfId="4" applyFont="1" applyFill="1" applyBorder="1"/>
    <xf numFmtId="1" fontId="1" fillId="6" borderId="0" xfId="0" applyNumberFormat="1" applyFont="1" applyFill="1"/>
    <xf numFmtId="168" fontId="1" fillId="6" borderId="6" xfId="0" applyNumberFormat="1" applyFont="1" applyFill="1" applyBorder="1"/>
    <xf numFmtId="9" fontId="1" fillId="6" borderId="8" xfId="4" applyFont="1" applyFill="1" applyBorder="1"/>
    <xf numFmtId="168" fontId="1" fillId="6" borderId="30" xfId="3" applyNumberFormat="1" applyFont="1" applyFill="1" applyBorder="1"/>
    <xf numFmtId="168" fontId="1" fillId="6" borderId="44" xfId="3" applyNumberFormat="1" applyFont="1" applyFill="1" applyBorder="1"/>
    <xf numFmtId="168" fontId="1" fillId="6" borderId="7" xfId="3" applyNumberFormat="1" applyFont="1" applyFill="1" applyBorder="1"/>
    <xf numFmtId="168" fontId="1" fillId="6" borderId="8" xfId="4" applyNumberFormat="1" applyFont="1" applyFill="1" applyBorder="1"/>
    <xf numFmtId="0" fontId="0" fillId="6" borderId="38" xfId="0" applyFill="1" applyBorder="1"/>
    <xf numFmtId="168" fontId="1" fillId="6" borderId="7" xfId="0" applyNumberFormat="1" applyFont="1" applyFill="1" applyBorder="1"/>
    <xf numFmtId="0" fontId="0" fillId="6" borderId="8" xfId="0" applyFill="1" applyBorder="1"/>
    <xf numFmtId="0" fontId="2" fillId="7" borderId="0" xfId="0" applyFont="1" applyFill="1"/>
    <xf numFmtId="0" fontId="4" fillId="5" borderId="11" xfId="0" applyFont="1" applyFill="1" applyBorder="1"/>
    <xf numFmtId="2" fontId="2" fillId="7" borderId="13" xfId="0" applyNumberFormat="1" applyFont="1" applyFill="1" applyBorder="1"/>
    <xf numFmtId="168" fontId="2" fillId="2" borderId="6" xfId="0" applyNumberFormat="1" applyFont="1" applyFill="1" applyBorder="1"/>
    <xf numFmtId="0" fontId="2" fillId="2" borderId="8" xfId="0" applyFont="1" applyFill="1" applyBorder="1"/>
  </cellXfs>
  <cellStyles count="5">
    <cellStyle name="Millares" xfId="1" builtinId="3"/>
    <cellStyle name="Millares [0]" xfId="2" builtinId="6"/>
    <cellStyle name="Moneda [0]" xfId="3" builtinId="7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</a:t>
            </a:r>
            <a:r>
              <a:rPr lang="en-US" baseline="0"/>
              <a:t> y almacenaje pallets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cliente!$L$11</c:f>
              <c:strCache>
                <c:ptCount val="1"/>
                <c:pt idx="0">
                  <c:v>pallets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cliente!$M$11:$X$11</c:f>
              <c:numCache>
                <c:formatCode>General</c:formatCode>
                <c:ptCount val="12"/>
                <c:pt idx="0">
                  <c:v>88</c:v>
                </c:pt>
                <c:pt idx="1">
                  <c:v>97</c:v>
                </c:pt>
                <c:pt idx="2">
                  <c:v>86</c:v>
                </c:pt>
                <c:pt idx="3">
                  <c:v>88</c:v>
                </c:pt>
                <c:pt idx="4">
                  <c:v>65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B-4A07-836B-2B7983E98D6C}"/>
            </c:ext>
          </c:extLst>
        </c:ser>
        <c:ser>
          <c:idx val="1"/>
          <c:order val="1"/>
          <c:tx>
            <c:strRef>
              <c:f>cliente!$L$12</c:f>
              <c:strCache>
                <c:ptCount val="1"/>
                <c:pt idx="0">
                  <c:v>pallets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cliente!$M$12:$X$12</c:f>
              <c:numCache>
                <c:formatCode>General</c:formatCode>
                <c:ptCount val="12"/>
                <c:pt idx="0">
                  <c:v>78</c:v>
                </c:pt>
                <c:pt idx="1">
                  <c:v>74</c:v>
                </c:pt>
                <c:pt idx="2">
                  <c:v>98</c:v>
                </c:pt>
                <c:pt idx="3">
                  <c:v>70</c:v>
                </c:pt>
                <c:pt idx="4">
                  <c:v>99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B-4A07-836B-2B7983E98D6C}"/>
            </c:ext>
          </c:extLst>
        </c:ser>
        <c:ser>
          <c:idx val="2"/>
          <c:order val="2"/>
          <c:tx>
            <c:strRef>
              <c:f>cliente!$L$13</c:f>
              <c:strCache>
                <c:ptCount val="1"/>
                <c:pt idx="0">
                  <c:v>Stock pp prom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cliente!$M$13:$X$13</c:f>
              <c:numCache>
                <c:formatCode>General</c:formatCode>
                <c:ptCount val="12"/>
                <c:pt idx="0">
                  <c:v>9.4</c:v>
                </c:pt>
                <c:pt idx="1">
                  <c:v>21.5</c:v>
                </c:pt>
                <c:pt idx="2">
                  <c:v>27</c:v>
                </c:pt>
                <c:pt idx="3">
                  <c:v>30</c:v>
                </c:pt>
                <c:pt idx="4">
                  <c:v>22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B-4A07-836B-2B7983E9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45888"/>
        <c:axId val="1254746248"/>
      </c:lineChart>
      <c:catAx>
        <c:axId val="12547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6248"/>
        <c:crosses val="autoZero"/>
        <c:auto val="1"/>
        <c:lblAlgn val="ctr"/>
        <c:lblOffset val="100"/>
        <c:noMultiLvlLbl val="0"/>
      </c:catAx>
      <c:valAx>
        <c:axId val="1254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mensuales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cliente!$C$103</c:f>
              <c:strCache>
                <c:ptCount val="1"/>
                <c:pt idx="0">
                  <c:v>PalletParking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cliente!$D$103:$O$103</c:f>
              <c:numCache>
                <c:formatCode>_-[$$-409]* #,##0_ ;_-[$$-409]* \-#,##0\ ;_-[$$-409]* "-"??_ ;_-@_ </c:formatCode>
                <c:ptCount val="12"/>
                <c:pt idx="0">
                  <c:v>879136.47359999991</c:v>
                </c:pt>
                <c:pt idx="1">
                  <c:v>1018047.6479999999</c:v>
                </c:pt>
                <c:pt idx="2">
                  <c:v>1132221.216</c:v>
                </c:pt>
                <c:pt idx="3">
                  <c:v>1037076.5759999999</c:v>
                </c:pt>
                <c:pt idx="4">
                  <c:v>989504.25599999982</c:v>
                </c:pt>
                <c:pt idx="5">
                  <c:v>770671.58399999992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430C-9353-2C7A1E3BCA1A}"/>
            </c:ext>
          </c:extLst>
        </c:ser>
        <c:ser>
          <c:idx val="1"/>
          <c:order val="1"/>
          <c:tx>
            <c:strRef>
              <c:f>cliente!$C$104</c:f>
              <c:strCache>
                <c:ptCount val="1"/>
                <c:pt idx="0">
                  <c:v>Bodega arrendada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cliente!$D$104:$O$104</c:f>
              <c:numCache>
                <c:formatCode>_-[$$-409]* #,##0_ ;_-[$$-409]* \-#,##0\ ;_-[$$-409]* "-"??_ ;_-@_ </c:formatCode>
                <c:ptCount val="12"/>
                <c:pt idx="0">
                  <c:v>1639282.9970666668</c:v>
                </c:pt>
                <c:pt idx="1">
                  <c:v>1649335.0804000001</c:v>
                </c:pt>
                <c:pt idx="2">
                  <c:v>1675470.4970666668</c:v>
                </c:pt>
                <c:pt idx="3">
                  <c:v>1623199.6637333333</c:v>
                </c:pt>
                <c:pt idx="4">
                  <c:v>1635262.1637333333</c:v>
                </c:pt>
                <c:pt idx="5">
                  <c:v>3065153.8304000003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9-430C-9353-2C7A1E3B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536824"/>
        <c:axId val="1169537544"/>
      </c:barChart>
      <c:catAx>
        <c:axId val="116953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7544"/>
        <c:crosses val="autoZero"/>
        <c:auto val="1"/>
        <c:lblAlgn val="ctr"/>
        <c:lblOffset val="100"/>
        <c:noMultiLvlLbl val="0"/>
      </c:catAx>
      <c:valAx>
        <c:axId val="1169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3" name="Arrow: Down 4">
          <a:extLst>
            <a:ext uri="{FF2B5EF4-FFF2-40B4-BE49-F238E27FC236}">
              <a16:creationId xmlns:a16="http://schemas.microsoft.com/office/drawing/2014/main" id="{A9BA1DE5-89FE-43D5-BAF0-B34B96524512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7" name="Arrow: Down 4">
          <a:extLst>
            <a:ext uri="{FF2B5EF4-FFF2-40B4-BE49-F238E27FC236}">
              <a16:creationId xmlns:a16="http://schemas.microsoft.com/office/drawing/2014/main" id="{A7B7EC92-1C54-416D-BFD0-199F5AF6B8B9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20</xdr:col>
      <xdr:colOff>1126434</xdr:colOff>
      <xdr:row>24</xdr:row>
      <xdr:rowOff>139148</xdr:rowOff>
    </xdr:from>
    <xdr:to>
      <xdr:col>21</xdr:col>
      <xdr:colOff>205407</xdr:colOff>
      <xdr:row>34</xdr:row>
      <xdr:rowOff>125895</xdr:rowOff>
    </xdr:to>
    <xdr:sp macro="" textlink="">
      <xdr:nvSpPr>
        <xdr:cNvPr id="8" name="Arrow: Down 4">
          <a:extLst>
            <a:ext uri="{FF2B5EF4-FFF2-40B4-BE49-F238E27FC236}">
              <a16:creationId xmlns:a16="http://schemas.microsoft.com/office/drawing/2014/main" id="{2B9512D0-BAFF-432F-ACD9-C955747289E8}"/>
            </a:ext>
          </a:extLst>
        </xdr:cNvPr>
        <xdr:cNvSpPr/>
      </xdr:nvSpPr>
      <xdr:spPr>
        <a:xfrm>
          <a:off x="18864469" y="3491948"/>
          <a:ext cx="278295" cy="18553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901148</xdr:colOff>
      <xdr:row>32</xdr:row>
      <xdr:rowOff>6626</xdr:rowOff>
    </xdr:from>
    <xdr:to>
      <xdr:col>9</xdr:col>
      <xdr:colOff>424068</xdr:colOff>
      <xdr:row>41</xdr:row>
      <xdr:rowOff>172279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A632CDE-DE87-3C5C-5C46-C4425A0B5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768628</xdr:colOff>
      <xdr:row>9</xdr:row>
      <xdr:rowOff>59635</xdr:rowOff>
    </xdr:from>
    <xdr:to>
      <xdr:col>10</xdr:col>
      <xdr:colOff>351184</xdr:colOff>
      <xdr:row>13</xdr:row>
      <xdr:rowOff>99391</xdr:rowOff>
    </xdr:to>
    <xdr:sp macro="" textlink="">
      <xdr:nvSpPr>
        <xdr:cNvPr id="12" name="Flecha: pentágono 11">
          <a:extLst>
            <a:ext uri="{FF2B5EF4-FFF2-40B4-BE49-F238E27FC236}">
              <a16:creationId xmlns:a16="http://schemas.microsoft.com/office/drawing/2014/main" id="{60261CF0-D81D-D719-E9BF-EAEE96C80696}"/>
            </a:ext>
          </a:extLst>
        </xdr:cNvPr>
        <xdr:cNvSpPr/>
      </xdr:nvSpPr>
      <xdr:spPr>
        <a:xfrm>
          <a:off x="7885045" y="1742661"/>
          <a:ext cx="2610678" cy="781878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616226</xdr:colOff>
      <xdr:row>106</xdr:row>
      <xdr:rowOff>3312</xdr:rowOff>
    </xdr:from>
    <xdr:to>
      <xdr:col>11</xdr:col>
      <xdr:colOff>397566</xdr:colOff>
      <xdr:row>120</xdr:row>
      <xdr:rowOff>149086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F27AACB-7B9D-74F2-A500-C7428E101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A041-2E46-4E93-8ECB-C4EA06E8ADC6}">
  <dimension ref="B3:AI118"/>
  <sheetViews>
    <sheetView showFormulas="1" tabSelected="1" topLeftCell="H80" zoomScale="87" zoomScaleNormal="100" workbookViewId="0">
      <selection activeCell="R102" sqref="R102"/>
    </sheetView>
  </sheetViews>
  <sheetFormatPr baseColWidth="10" defaultColWidth="8.7109375" defaultRowHeight="15" x14ac:dyDescent="0.25"/>
  <cols>
    <col min="1" max="2" width="8.7109375" style="1"/>
    <col min="3" max="3" width="17.42578125" style="1" customWidth="1"/>
    <col min="4" max="4" width="12.28515625" style="1" customWidth="1"/>
    <col min="5" max="5" width="19.7109375" style="1" bestFit="1" customWidth="1"/>
    <col min="6" max="6" width="14.5703125" style="1" customWidth="1"/>
    <col min="7" max="7" width="16" style="1" customWidth="1"/>
    <col min="8" max="8" width="17.85546875" style="1" customWidth="1"/>
    <col min="9" max="9" width="15.5703125" style="1" bestFit="1" customWidth="1"/>
    <col min="10" max="11" width="12.5703125" style="1" customWidth="1"/>
    <col min="12" max="12" width="14" style="1" customWidth="1"/>
    <col min="13" max="14" width="12.5703125" style="1" customWidth="1"/>
    <col min="15" max="15" width="13.42578125" style="1" customWidth="1"/>
    <col min="16" max="16" width="12.28515625" style="1" bestFit="1" customWidth="1"/>
    <col min="17" max="17" width="12.42578125" style="1" customWidth="1"/>
    <col min="18" max="18" width="11.42578125" style="1" customWidth="1"/>
    <col min="19" max="20" width="8.7109375" style="1" customWidth="1"/>
    <col min="21" max="21" width="17.42578125" style="1" customWidth="1"/>
    <col min="22" max="22" width="20.42578125" style="1" customWidth="1"/>
    <col min="23" max="23" width="14.7109375" style="1" customWidth="1"/>
    <col min="24" max="24" width="13.28515625" style="1" customWidth="1"/>
    <col min="25" max="25" width="12.28515625" style="1" bestFit="1" customWidth="1"/>
    <col min="26" max="26" width="12.85546875" style="1" customWidth="1"/>
    <col min="27" max="29" width="14.7109375" style="1" customWidth="1"/>
    <col min="30" max="30" width="12.140625" style="1" customWidth="1"/>
    <col min="31" max="31" width="12" style="1" customWidth="1"/>
    <col min="32" max="32" width="11.85546875" style="1" customWidth="1"/>
    <col min="33" max="33" width="11.28515625" style="1" customWidth="1"/>
    <col min="34" max="34" width="12.28515625" style="1" bestFit="1" customWidth="1"/>
    <col min="35" max="35" width="11.5703125" style="1" bestFit="1" customWidth="1"/>
    <col min="36" max="16384" width="8.7109375" style="1"/>
  </cols>
  <sheetData>
    <row r="3" spans="2:35" ht="15.75" thickBot="1" x14ac:dyDescent="0.3"/>
    <row r="4" spans="2:3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spans="2:35" x14ac:dyDescent="0.25">
      <c r="B5" s="7"/>
      <c r="AI5" s="8"/>
    </row>
    <row r="6" spans="2:35" x14ac:dyDescent="0.25">
      <c r="B6" s="9"/>
      <c r="D6" s="10" t="s">
        <v>112</v>
      </c>
      <c r="E6" s="11"/>
      <c r="G6" s="12" t="s">
        <v>109</v>
      </c>
      <c r="H6" s="13"/>
      <c r="I6" s="13"/>
      <c r="J6" s="13"/>
      <c r="K6" s="13"/>
      <c r="L6" s="13"/>
      <c r="M6" s="13"/>
      <c r="N6" s="13"/>
      <c r="O6" s="13"/>
      <c r="P6" s="13"/>
      <c r="AI6" s="8"/>
    </row>
    <row r="7" spans="2:35" ht="15.75" thickBot="1" x14ac:dyDescent="0.3">
      <c r="B7" s="7"/>
      <c r="D7" t="s">
        <v>2</v>
      </c>
      <c r="G7" s="14"/>
      <c r="H7" s="15" t="s">
        <v>3</v>
      </c>
      <c r="I7" s="14"/>
      <c r="J7" s="14"/>
      <c r="K7" s="14"/>
      <c r="L7" s="14"/>
      <c r="M7" s="14"/>
      <c r="N7" s="14"/>
      <c r="O7" s="14"/>
      <c r="P7" s="14"/>
      <c r="AB7" s="11"/>
      <c r="AC7" s="11"/>
      <c r="AI7" s="8"/>
    </row>
    <row r="8" spans="2:35" x14ac:dyDescent="0.25">
      <c r="B8" s="7"/>
      <c r="C8" s="28" t="s">
        <v>12</v>
      </c>
      <c r="D8" s="28" t="s">
        <v>4</v>
      </c>
      <c r="E8" s="28" t="s">
        <v>5</v>
      </c>
      <c r="F8"/>
      <c r="G8" s="1" t="s">
        <v>110</v>
      </c>
      <c r="Y8" s="110"/>
      <c r="Z8" s="110"/>
      <c r="AB8" s="11"/>
      <c r="AC8" s="11"/>
      <c r="AI8" s="8"/>
    </row>
    <row r="9" spans="2:35" x14ac:dyDescent="0.25">
      <c r="B9" s="7"/>
      <c r="C9" s="27">
        <v>1</v>
      </c>
      <c r="D9" s="97">
        <v>88</v>
      </c>
      <c r="E9" s="97">
        <v>78</v>
      </c>
      <c r="F9" t="s">
        <v>6</v>
      </c>
      <c r="G9" s="1">
        <f>+D9-E9</f>
        <v>10</v>
      </c>
      <c r="I9" s="16"/>
      <c r="L9" s="109" t="s">
        <v>127</v>
      </c>
      <c r="M9" s="110"/>
      <c r="N9" s="110"/>
      <c r="O9" s="110"/>
      <c r="P9" s="110"/>
      <c r="Q9" s="110"/>
      <c r="R9" s="110"/>
      <c r="Y9" s="110"/>
      <c r="Z9" s="110"/>
      <c r="AB9" s="11"/>
      <c r="AC9" s="11"/>
      <c r="AI9" s="8"/>
    </row>
    <row r="10" spans="2:35" x14ac:dyDescent="0.25">
      <c r="B10" s="7"/>
      <c r="C10" s="27">
        <v>2</v>
      </c>
      <c r="D10" s="97">
        <v>97</v>
      </c>
      <c r="E10" s="97">
        <v>74</v>
      </c>
      <c r="F10" t="s">
        <v>6</v>
      </c>
      <c r="G10" s="1">
        <f t="shared" ref="G10:G20" si="0">+G9+D10-E10</f>
        <v>33</v>
      </c>
      <c r="I10" s="16"/>
      <c r="L10" s="96" t="s">
        <v>12</v>
      </c>
      <c r="M10" s="97">
        <f>+C9</f>
        <v>1</v>
      </c>
      <c r="N10" s="97">
        <f>+C10</f>
        <v>2</v>
      </c>
      <c r="O10" s="97">
        <f>+C11</f>
        <v>3</v>
      </c>
      <c r="P10" s="97">
        <f>+C12</f>
        <v>4</v>
      </c>
      <c r="Q10" s="97">
        <f>+C13</f>
        <v>5</v>
      </c>
      <c r="R10" s="97">
        <f>+C14</f>
        <v>6</v>
      </c>
      <c r="S10" s="97">
        <f>+C15</f>
        <v>7</v>
      </c>
      <c r="T10" s="97">
        <f>+C16</f>
        <v>8</v>
      </c>
      <c r="U10" s="97">
        <f>+C17</f>
        <v>9</v>
      </c>
      <c r="V10" s="97">
        <f>+C18</f>
        <v>10</v>
      </c>
      <c r="W10" s="97">
        <f>+C19</f>
        <v>11</v>
      </c>
      <c r="X10" s="97">
        <f>+C20</f>
        <v>12</v>
      </c>
      <c r="Y10" s="97" t="s">
        <v>128</v>
      </c>
      <c r="AB10" s="11"/>
      <c r="AC10" s="11"/>
      <c r="AI10" s="8"/>
    </row>
    <row r="11" spans="2:35" x14ac:dyDescent="0.25">
      <c r="B11" s="7"/>
      <c r="C11" s="27">
        <f t="shared" ref="C11:C20" si="1">1+C10</f>
        <v>3</v>
      </c>
      <c r="D11" s="97">
        <v>86</v>
      </c>
      <c r="E11" s="97">
        <v>98</v>
      </c>
      <c r="F11" t="s">
        <v>6</v>
      </c>
      <c r="G11" s="1">
        <f t="shared" si="0"/>
        <v>21</v>
      </c>
      <c r="I11" s="16"/>
      <c r="L11" s="28" t="s">
        <v>124</v>
      </c>
      <c r="M11" s="27">
        <f>+D9</f>
        <v>88</v>
      </c>
      <c r="N11" s="27">
        <f>+D10</f>
        <v>97</v>
      </c>
      <c r="O11" s="27">
        <f>+D11</f>
        <v>86</v>
      </c>
      <c r="P11" s="27">
        <f>+D12</f>
        <v>88</v>
      </c>
      <c r="Q11" s="27">
        <f>+D13</f>
        <v>65</v>
      </c>
      <c r="R11" s="27">
        <f>+D14</f>
        <v>76</v>
      </c>
      <c r="S11" s="27">
        <f>+D15</f>
        <v>0</v>
      </c>
      <c r="T11" s="27">
        <f>+D16</f>
        <v>0</v>
      </c>
      <c r="U11" s="27">
        <f>+D17</f>
        <v>0</v>
      </c>
      <c r="V11" s="27">
        <f>+D18</f>
        <v>0</v>
      </c>
      <c r="W11" s="27">
        <f>+D19</f>
        <v>0</v>
      </c>
      <c r="X11" s="27">
        <f>+D20</f>
        <v>0</v>
      </c>
      <c r="Y11" s="27">
        <f>SUM(M11:X11)</f>
        <v>500</v>
      </c>
      <c r="AB11" s="11"/>
      <c r="AC11" s="11"/>
      <c r="AI11" s="8"/>
    </row>
    <row r="12" spans="2:35" x14ac:dyDescent="0.25">
      <c r="B12" s="7"/>
      <c r="C12" s="27">
        <f t="shared" si="1"/>
        <v>4</v>
      </c>
      <c r="D12" s="97">
        <v>88</v>
      </c>
      <c r="E12" s="97">
        <v>70</v>
      </c>
      <c r="F12" t="s">
        <v>6</v>
      </c>
      <c r="G12" s="1">
        <f t="shared" si="0"/>
        <v>39</v>
      </c>
      <c r="I12" s="16"/>
      <c r="L12" s="28" t="s">
        <v>125</v>
      </c>
      <c r="M12" s="27">
        <f>+E9</f>
        <v>78</v>
      </c>
      <c r="N12" s="27">
        <f>+E10</f>
        <v>74</v>
      </c>
      <c r="O12" s="27">
        <f>+E11</f>
        <v>98</v>
      </c>
      <c r="P12" s="27">
        <f>+E12</f>
        <v>70</v>
      </c>
      <c r="Q12" s="27">
        <f>+E13</f>
        <v>99</v>
      </c>
      <c r="R12" s="27">
        <f>+E14</f>
        <v>81</v>
      </c>
      <c r="S12" s="27">
        <f>+E15</f>
        <v>0</v>
      </c>
      <c r="T12" s="27">
        <f>+E16</f>
        <v>0</v>
      </c>
      <c r="U12" s="27">
        <f>+E17</f>
        <v>0</v>
      </c>
      <c r="V12" s="27">
        <f>+E18</f>
        <v>0</v>
      </c>
      <c r="W12" s="27">
        <f>+E19</f>
        <v>0</v>
      </c>
      <c r="X12" s="27">
        <f>+E20</f>
        <v>0</v>
      </c>
      <c r="Y12" s="27">
        <f t="shared" ref="Y12" si="2">SUM(M12:X12)</f>
        <v>500</v>
      </c>
      <c r="AB12" s="11"/>
      <c r="AC12" s="11"/>
      <c r="AI12" s="8"/>
    </row>
    <row r="13" spans="2:35" x14ac:dyDescent="0.25">
      <c r="B13" s="7"/>
      <c r="C13" s="27">
        <f t="shared" si="1"/>
        <v>5</v>
      </c>
      <c r="D13" s="97">
        <v>65</v>
      </c>
      <c r="E13" s="97">
        <v>99</v>
      </c>
      <c r="F13" t="s">
        <v>6</v>
      </c>
      <c r="G13" s="1">
        <f t="shared" si="0"/>
        <v>5</v>
      </c>
      <c r="I13" s="16"/>
      <c r="L13" s="28" t="s">
        <v>123</v>
      </c>
      <c r="M13" s="27">
        <f>+(((M11*0.1)+(M11-M12))/2)</f>
        <v>9.4</v>
      </c>
      <c r="N13" s="27">
        <f t="shared" ref="N13:X13" si="3">+(M14+N14)/2</f>
        <v>21.5</v>
      </c>
      <c r="O13" s="27">
        <f t="shared" si="3"/>
        <v>27</v>
      </c>
      <c r="P13" s="27">
        <f t="shared" si="3"/>
        <v>30</v>
      </c>
      <c r="Q13" s="27">
        <f t="shared" si="3"/>
        <v>22</v>
      </c>
      <c r="R13" s="27">
        <f t="shared" si="3"/>
        <v>2.5</v>
      </c>
      <c r="S13" s="27">
        <f t="shared" si="3"/>
        <v>0</v>
      </c>
      <c r="T13" s="27">
        <f t="shared" si="3"/>
        <v>0</v>
      </c>
      <c r="U13" s="27">
        <f t="shared" si="3"/>
        <v>0</v>
      </c>
      <c r="V13" s="27">
        <f t="shared" si="3"/>
        <v>0</v>
      </c>
      <c r="W13" s="27">
        <f t="shared" si="3"/>
        <v>0</v>
      </c>
      <c r="X13" s="27">
        <f t="shared" si="3"/>
        <v>0</v>
      </c>
      <c r="Y13" s="27">
        <f>SUM(M13:X13)/5</f>
        <v>22.48</v>
      </c>
      <c r="AB13" s="11"/>
      <c r="AC13" s="11"/>
      <c r="AI13" s="8"/>
    </row>
    <row r="14" spans="2:35" x14ac:dyDescent="0.25">
      <c r="B14" s="7"/>
      <c r="C14" s="27">
        <f t="shared" si="1"/>
        <v>6</v>
      </c>
      <c r="D14" s="97">
        <v>76</v>
      </c>
      <c r="E14" s="97">
        <v>81</v>
      </c>
      <c r="F14"/>
      <c r="G14" s="1">
        <f t="shared" si="0"/>
        <v>0</v>
      </c>
      <c r="I14" s="16"/>
      <c r="L14" s="28" t="s">
        <v>126</v>
      </c>
      <c r="M14" s="27">
        <f>+M11-M12</f>
        <v>10</v>
      </c>
      <c r="N14" s="27">
        <f t="shared" ref="N14:X14" si="4">+M14+N11-N12</f>
        <v>33</v>
      </c>
      <c r="O14" s="27">
        <f t="shared" si="4"/>
        <v>21</v>
      </c>
      <c r="P14" s="27">
        <f t="shared" si="4"/>
        <v>39</v>
      </c>
      <c r="Q14" s="27">
        <f t="shared" si="4"/>
        <v>5</v>
      </c>
      <c r="R14" s="27">
        <f t="shared" si="4"/>
        <v>0</v>
      </c>
      <c r="S14" s="27">
        <f t="shared" si="4"/>
        <v>0</v>
      </c>
      <c r="T14" s="27">
        <f t="shared" si="4"/>
        <v>0</v>
      </c>
      <c r="U14" s="27">
        <f t="shared" si="4"/>
        <v>0</v>
      </c>
      <c r="V14" s="27">
        <f t="shared" si="4"/>
        <v>0</v>
      </c>
      <c r="W14" s="27">
        <f t="shared" si="4"/>
        <v>0</v>
      </c>
      <c r="X14" s="27">
        <f t="shared" si="4"/>
        <v>0</v>
      </c>
      <c r="Y14" s="27"/>
      <c r="AB14" s="11"/>
      <c r="AC14" s="11"/>
      <c r="AI14" s="8"/>
    </row>
    <row r="15" spans="2:35" x14ac:dyDescent="0.25">
      <c r="B15" s="7"/>
      <c r="C15" s="27">
        <f t="shared" si="1"/>
        <v>7</v>
      </c>
      <c r="D15" s="97">
        <v>0</v>
      </c>
      <c r="E15" s="97">
        <v>0</v>
      </c>
      <c r="F15"/>
      <c r="G15" s="1">
        <f t="shared" si="0"/>
        <v>0</v>
      </c>
      <c r="I15" s="16"/>
      <c r="Q15" s="8"/>
      <c r="T15" s="7"/>
      <c r="AB15" s="11"/>
      <c r="AC15" s="11"/>
      <c r="AI15" s="8"/>
    </row>
    <row r="16" spans="2:35" x14ac:dyDescent="0.25">
      <c r="B16" s="7"/>
      <c r="C16" s="27">
        <f t="shared" si="1"/>
        <v>8</v>
      </c>
      <c r="D16" s="97">
        <v>0</v>
      </c>
      <c r="E16" s="97">
        <v>0</v>
      </c>
      <c r="F16"/>
      <c r="G16" s="1">
        <f t="shared" si="0"/>
        <v>0</v>
      </c>
      <c r="I16" s="16"/>
      <c r="AB16" s="11"/>
      <c r="AC16" s="11"/>
      <c r="AI16" s="8"/>
    </row>
    <row r="17" spans="2:35" x14ac:dyDescent="0.25">
      <c r="B17" s="7"/>
      <c r="C17" s="27">
        <f t="shared" si="1"/>
        <v>9</v>
      </c>
      <c r="D17" s="97">
        <v>0</v>
      </c>
      <c r="E17" s="97">
        <v>0</v>
      </c>
      <c r="F17"/>
      <c r="G17" s="1">
        <f t="shared" si="0"/>
        <v>0</v>
      </c>
      <c r="AB17" s="11"/>
      <c r="AC17" s="11"/>
      <c r="AI17" s="8"/>
    </row>
    <row r="18" spans="2:35" x14ac:dyDescent="0.25">
      <c r="B18" s="7"/>
      <c r="C18" s="27">
        <f t="shared" si="1"/>
        <v>10</v>
      </c>
      <c r="D18" s="97">
        <v>0</v>
      </c>
      <c r="E18" s="97">
        <v>0</v>
      </c>
      <c r="F18"/>
      <c r="G18" s="1">
        <f t="shared" si="0"/>
        <v>0</v>
      </c>
      <c r="AB18" s="11"/>
      <c r="AC18" s="11"/>
      <c r="AI18" s="8"/>
    </row>
    <row r="19" spans="2:35" x14ac:dyDescent="0.25">
      <c r="B19" s="7"/>
      <c r="C19" s="27">
        <f t="shared" si="1"/>
        <v>11</v>
      </c>
      <c r="D19" s="97">
        <v>0</v>
      </c>
      <c r="E19" s="97">
        <v>0</v>
      </c>
      <c r="F19"/>
      <c r="G19" s="1">
        <f t="shared" si="0"/>
        <v>0</v>
      </c>
      <c r="AI19" s="8"/>
    </row>
    <row r="20" spans="2:35" x14ac:dyDescent="0.25">
      <c r="B20" s="7"/>
      <c r="C20" s="27">
        <f t="shared" si="1"/>
        <v>12</v>
      </c>
      <c r="D20" s="97">
        <v>0</v>
      </c>
      <c r="E20" s="97">
        <v>0</v>
      </c>
      <c r="F20"/>
      <c r="G20" s="1">
        <f t="shared" si="0"/>
        <v>0</v>
      </c>
      <c r="AI20" s="8"/>
    </row>
    <row r="21" spans="2:35" x14ac:dyDescent="0.25">
      <c r="B21" s="7"/>
      <c r="C21" s="27"/>
      <c r="D21" s="187">
        <f>SUM(D9:D20)</f>
        <v>500</v>
      </c>
      <c r="E21" s="187">
        <f>SUM(E9:E20)</f>
        <v>500</v>
      </c>
      <c r="F21"/>
      <c r="AI21" s="8"/>
    </row>
    <row r="22" spans="2:35" ht="15.75" thickBot="1" x14ac:dyDescent="0.3">
      <c r="B22" s="18"/>
      <c r="C22" s="19"/>
      <c r="D22" s="17"/>
      <c r="E22" s="19"/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AI22" s="8"/>
    </row>
    <row r="23" spans="2:35" x14ac:dyDescent="0.25">
      <c r="B23" s="7"/>
      <c r="Q23" s="8"/>
      <c r="T23" s="4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</row>
    <row r="24" spans="2:35" ht="15.75" thickBot="1" x14ac:dyDescent="0.3">
      <c r="B24" s="7"/>
      <c r="C24" s="2" t="s">
        <v>0</v>
      </c>
      <c r="D24" s="3"/>
      <c r="Q24" s="8"/>
      <c r="T24" s="7"/>
      <c r="U24" s="2" t="s">
        <v>1</v>
      </c>
      <c r="W24" s="2" t="s">
        <v>94</v>
      </c>
      <c r="Z24" t="s">
        <v>7</v>
      </c>
      <c r="AA24" s="83"/>
      <c r="AB24" s="83"/>
      <c r="AC24" s="100"/>
      <c r="AI24" s="8"/>
    </row>
    <row r="25" spans="2:35" x14ac:dyDescent="0.25">
      <c r="B25" s="2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T25" s="7"/>
      <c r="U25" s="1" t="s">
        <v>108</v>
      </c>
      <c r="W25" t="s">
        <v>95</v>
      </c>
      <c r="Z25" t="s">
        <v>8</v>
      </c>
      <c r="AC25" s="8"/>
      <c r="AI25" s="8"/>
    </row>
    <row r="26" spans="2:35" x14ac:dyDescent="0.25">
      <c r="B26" s="7"/>
      <c r="C26" t="s">
        <v>113</v>
      </c>
      <c r="Q26" s="8"/>
      <c r="T26" s="7"/>
      <c r="W26" t="s">
        <v>96</v>
      </c>
      <c r="Z26" s="23" t="s">
        <v>9</v>
      </c>
      <c r="AA26" s="24" t="s">
        <v>10</v>
      </c>
      <c r="AB26" s="25">
        <v>0.09</v>
      </c>
      <c r="AC26" s="85" t="s">
        <v>11</v>
      </c>
      <c r="AI26" s="8"/>
    </row>
    <row r="27" spans="2:35" x14ac:dyDescent="0.25">
      <c r="B27" s="7"/>
      <c r="C27" s="96" t="s">
        <v>12</v>
      </c>
      <c r="D27" s="97">
        <f>+M10</f>
        <v>1</v>
      </c>
      <c r="E27" s="97">
        <f t="shared" ref="E27:O27" si="5">+N10</f>
        <v>2</v>
      </c>
      <c r="F27" s="97">
        <f t="shared" si="5"/>
        <v>3</v>
      </c>
      <c r="G27" s="97">
        <f t="shared" si="5"/>
        <v>4</v>
      </c>
      <c r="H27" s="97">
        <f t="shared" si="5"/>
        <v>5</v>
      </c>
      <c r="I27" s="97">
        <f t="shared" si="5"/>
        <v>6</v>
      </c>
      <c r="J27" s="97">
        <f t="shared" si="5"/>
        <v>7</v>
      </c>
      <c r="K27" s="97">
        <f t="shared" si="5"/>
        <v>8</v>
      </c>
      <c r="L27" s="97">
        <f t="shared" si="5"/>
        <v>9</v>
      </c>
      <c r="M27" s="97">
        <f t="shared" si="5"/>
        <v>10</v>
      </c>
      <c r="N27" s="97">
        <f t="shared" si="5"/>
        <v>11</v>
      </c>
      <c r="O27" s="97">
        <f t="shared" si="5"/>
        <v>12</v>
      </c>
      <c r="Q27" s="8"/>
      <c r="T27" s="7"/>
      <c r="W27" t="s">
        <v>97</v>
      </c>
      <c r="AB27" s="16"/>
      <c r="AC27" s="8"/>
      <c r="AI27" s="8"/>
    </row>
    <row r="28" spans="2:35" x14ac:dyDescent="0.25">
      <c r="B28" s="7"/>
      <c r="C28" s="28" t="s">
        <v>13</v>
      </c>
      <c r="D28" s="27">
        <f>+M11</f>
        <v>88</v>
      </c>
      <c r="E28" s="27">
        <f t="shared" ref="E28:O31" si="6">+N11</f>
        <v>97</v>
      </c>
      <c r="F28" s="27">
        <f t="shared" si="6"/>
        <v>86</v>
      </c>
      <c r="G28" s="27">
        <f t="shared" si="6"/>
        <v>88</v>
      </c>
      <c r="H28" s="27">
        <f t="shared" si="6"/>
        <v>65</v>
      </c>
      <c r="I28" s="27">
        <f t="shared" si="6"/>
        <v>76</v>
      </c>
      <c r="J28" s="27">
        <f t="shared" si="6"/>
        <v>0</v>
      </c>
      <c r="K28" s="27">
        <f t="shared" si="6"/>
        <v>0</v>
      </c>
      <c r="L28" s="27">
        <f t="shared" si="6"/>
        <v>0</v>
      </c>
      <c r="M28" s="27">
        <f t="shared" si="6"/>
        <v>0</v>
      </c>
      <c r="N28" s="27">
        <f t="shared" si="6"/>
        <v>0</v>
      </c>
      <c r="O28" s="27">
        <f t="shared" si="6"/>
        <v>0</v>
      </c>
      <c r="Q28" s="8"/>
      <c r="T28" s="7"/>
      <c r="W28" t="s">
        <v>98</v>
      </c>
      <c r="AB28" s="28" t="s">
        <v>14</v>
      </c>
      <c r="AC28" s="8"/>
      <c r="AI28" s="8"/>
    </row>
    <row r="29" spans="2:35" x14ac:dyDescent="0.25">
      <c r="B29" s="7"/>
      <c r="C29" s="28" t="s">
        <v>5</v>
      </c>
      <c r="D29" s="27">
        <f t="shared" ref="D29:D31" si="7">+M12</f>
        <v>78</v>
      </c>
      <c r="E29" s="27">
        <f t="shared" si="6"/>
        <v>74</v>
      </c>
      <c r="F29" s="27">
        <f t="shared" si="6"/>
        <v>98</v>
      </c>
      <c r="G29" s="27">
        <f t="shared" si="6"/>
        <v>70</v>
      </c>
      <c r="H29" s="27">
        <f t="shared" si="6"/>
        <v>99</v>
      </c>
      <c r="I29" s="27">
        <f t="shared" si="6"/>
        <v>81</v>
      </c>
      <c r="J29" s="27">
        <f t="shared" si="6"/>
        <v>0</v>
      </c>
      <c r="K29" s="27">
        <f t="shared" si="6"/>
        <v>0</v>
      </c>
      <c r="L29" s="27">
        <f t="shared" si="6"/>
        <v>0</v>
      </c>
      <c r="M29" s="27">
        <f t="shared" si="6"/>
        <v>0</v>
      </c>
      <c r="N29" s="27">
        <f t="shared" si="6"/>
        <v>0</v>
      </c>
      <c r="O29" s="27">
        <f t="shared" si="6"/>
        <v>0</v>
      </c>
      <c r="Q29" s="8"/>
      <c r="T29" s="7"/>
      <c r="W29" t="s">
        <v>99</v>
      </c>
      <c r="Z29" s="29" t="s">
        <v>15</v>
      </c>
      <c r="AA29" s="26"/>
      <c r="AB29" s="25">
        <v>0.8</v>
      </c>
      <c r="AC29" s="8"/>
      <c r="AI29" s="8"/>
    </row>
    <row r="30" spans="2:35" x14ac:dyDescent="0.25">
      <c r="B30" s="7"/>
      <c r="C30" s="28" t="s">
        <v>16</v>
      </c>
      <c r="D30" s="27">
        <f t="shared" si="7"/>
        <v>9.4</v>
      </c>
      <c r="E30" s="27">
        <f t="shared" si="6"/>
        <v>21.5</v>
      </c>
      <c r="F30" s="27">
        <f t="shared" si="6"/>
        <v>27</v>
      </c>
      <c r="G30" s="27">
        <f t="shared" si="6"/>
        <v>30</v>
      </c>
      <c r="H30" s="27">
        <f t="shared" si="6"/>
        <v>22</v>
      </c>
      <c r="I30" s="27">
        <f t="shared" si="6"/>
        <v>2.5</v>
      </c>
      <c r="J30" s="27">
        <f t="shared" si="6"/>
        <v>0</v>
      </c>
      <c r="K30" s="27">
        <f t="shared" si="6"/>
        <v>0</v>
      </c>
      <c r="L30" s="27">
        <f t="shared" si="6"/>
        <v>0</v>
      </c>
      <c r="M30" s="27">
        <f t="shared" si="6"/>
        <v>0</v>
      </c>
      <c r="N30" s="27">
        <f t="shared" si="6"/>
        <v>0</v>
      </c>
      <c r="O30" s="27">
        <f t="shared" si="6"/>
        <v>0</v>
      </c>
      <c r="Q30" s="8"/>
      <c r="T30" s="7"/>
      <c r="W30" t="s">
        <v>100</v>
      </c>
      <c r="Z30" s="30"/>
      <c r="AA30" s="30"/>
      <c r="AB30" s="31"/>
      <c r="AC30" s="8"/>
      <c r="AI30" s="8"/>
    </row>
    <row r="31" spans="2:35" x14ac:dyDescent="0.25">
      <c r="B31" s="7"/>
      <c r="C31" s="28" t="s">
        <v>18</v>
      </c>
      <c r="D31" s="27">
        <f t="shared" si="7"/>
        <v>10</v>
      </c>
      <c r="E31" s="27">
        <f t="shared" si="6"/>
        <v>33</v>
      </c>
      <c r="F31" s="27">
        <f t="shared" si="6"/>
        <v>21</v>
      </c>
      <c r="G31" s="27">
        <f t="shared" si="6"/>
        <v>39</v>
      </c>
      <c r="H31" s="27">
        <f t="shared" si="6"/>
        <v>5</v>
      </c>
      <c r="I31" s="27">
        <f t="shared" si="6"/>
        <v>0</v>
      </c>
      <c r="J31" s="27">
        <f t="shared" si="6"/>
        <v>0</v>
      </c>
      <c r="K31" s="27">
        <f t="shared" si="6"/>
        <v>0</v>
      </c>
      <c r="L31" s="27">
        <f t="shared" si="6"/>
        <v>0</v>
      </c>
      <c r="M31" s="27">
        <f t="shared" si="6"/>
        <v>0</v>
      </c>
      <c r="N31" s="27">
        <f t="shared" si="6"/>
        <v>0</v>
      </c>
      <c r="O31" s="27">
        <f t="shared" si="6"/>
        <v>0</v>
      </c>
      <c r="Q31" s="8"/>
      <c r="T31" s="7"/>
      <c r="W31" t="s">
        <v>101</v>
      </c>
      <c r="Z31" t="s">
        <v>19</v>
      </c>
      <c r="AC31" s="8"/>
      <c r="AI31" s="8"/>
    </row>
    <row r="32" spans="2:35" x14ac:dyDescent="0.25">
      <c r="B32" s="7"/>
      <c r="Q32" s="8"/>
      <c r="T32" s="7"/>
      <c r="W32" t="s">
        <v>102</v>
      </c>
      <c r="Z32" t="s">
        <v>20</v>
      </c>
      <c r="AC32" s="8"/>
      <c r="AI32" s="8"/>
    </row>
    <row r="33" spans="2:35" x14ac:dyDescent="0.25">
      <c r="B33" s="7"/>
      <c r="Q33" s="8"/>
      <c r="T33" s="7"/>
      <c r="W33" t="s">
        <v>103</v>
      </c>
      <c r="Z33" t="s">
        <v>21</v>
      </c>
      <c r="AC33" s="8"/>
      <c r="AI33" s="8"/>
    </row>
    <row r="34" spans="2:35" x14ac:dyDescent="0.25">
      <c r="B34" s="7"/>
      <c r="Q34" s="8"/>
      <c r="T34" s="7"/>
      <c r="W34" s="1" t="s">
        <v>106</v>
      </c>
      <c r="AI34" s="8"/>
    </row>
    <row r="35" spans="2:35" ht="15.75" thickBot="1" x14ac:dyDescent="0.3">
      <c r="B35" s="7"/>
      <c r="Q35" s="8"/>
      <c r="T35" s="7"/>
      <c r="W35" t="s">
        <v>107</v>
      </c>
      <c r="AI35" s="8"/>
    </row>
    <row r="36" spans="2:35" x14ac:dyDescent="0.25">
      <c r="B36" s="7"/>
      <c r="Q36" s="8"/>
      <c r="T36" s="7"/>
      <c r="X36" s="22" t="s">
        <v>17</v>
      </c>
      <c r="Y36" s="86" t="s">
        <v>12</v>
      </c>
      <c r="AI36" s="8"/>
    </row>
    <row r="37" spans="2:35" ht="15.75" thickBot="1" x14ac:dyDescent="0.3">
      <c r="B37" s="7"/>
      <c r="Q37" s="8"/>
      <c r="T37" s="7"/>
      <c r="V37"/>
      <c r="X37" s="103">
        <f>+X49</f>
        <v>70.2</v>
      </c>
      <c r="Y37" s="104">
        <f>+X50</f>
        <v>6</v>
      </c>
      <c r="Z37"/>
      <c r="AA37"/>
      <c r="AB37"/>
      <c r="AI37" s="8"/>
    </row>
    <row r="38" spans="2:35" x14ac:dyDescent="0.25">
      <c r="B38" s="7"/>
      <c r="Q38" s="8"/>
      <c r="T38" s="7"/>
      <c r="V38" t="s">
        <v>111</v>
      </c>
      <c r="W38"/>
      <c r="X38"/>
      <c r="Y38"/>
      <c r="Z38"/>
      <c r="AA38"/>
      <c r="AB38"/>
      <c r="AI38" s="8"/>
    </row>
    <row r="39" spans="2:35" x14ac:dyDescent="0.25">
      <c r="B39" s="7"/>
      <c r="Q39" s="8"/>
      <c r="T39" s="7"/>
      <c r="V39"/>
      <c r="W39"/>
      <c r="X39"/>
      <c r="Y39"/>
      <c r="Z39"/>
      <c r="AA39"/>
      <c r="AB39"/>
      <c r="AI39" s="8"/>
    </row>
    <row r="40" spans="2:35" x14ac:dyDescent="0.25">
      <c r="B40" s="7"/>
      <c r="Q40" s="8"/>
      <c r="T40" s="7"/>
      <c r="V40"/>
      <c r="W40">
        <v>100</v>
      </c>
      <c r="X40">
        <v>500</v>
      </c>
      <c r="Y40">
        <v>1000</v>
      </c>
      <c r="Z40">
        <v>3000</v>
      </c>
      <c r="AA40">
        <v>5000</v>
      </c>
      <c r="AB40">
        <v>10000</v>
      </c>
      <c r="AI40" s="8"/>
    </row>
    <row r="41" spans="2:35" x14ac:dyDescent="0.25">
      <c r="B41" s="7"/>
      <c r="Q41" s="8"/>
      <c r="T41" s="9"/>
      <c r="U41" t="s">
        <v>104</v>
      </c>
      <c r="V41">
        <v>3</v>
      </c>
      <c r="W41">
        <v>0.34</v>
      </c>
      <c r="X41">
        <v>0.26</v>
      </c>
      <c r="Y41">
        <v>0.2</v>
      </c>
      <c r="Z41">
        <v>0.17</v>
      </c>
      <c r="AA41">
        <v>0.16</v>
      </c>
      <c r="AB41">
        <v>0.15</v>
      </c>
      <c r="AI41" s="8"/>
    </row>
    <row r="42" spans="2:35" x14ac:dyDescent="0.25">
      <c r="B42" s="7"/>
      <c r="Q42" s="8"/>
      <c r="T42" s="7"/>
      <c r="V42">
        <v>6</v>
      </c>
      <c r="W42">
        <v>0.32</v>
      </c>
      <c r="X42">
        <v>0.21</v>
      </c>
      <c r="Y42">
        <v>0.16</v>
      </c>
      <c r="Z42">
        <v>0.14499999999999999</v>
      </c>
      <c r="AA42">
        <v>0.13</v>
      </c>
      <c r="AB42">
        <v>0.12</v>
      </c>
      <c r="AI42" s="8"/>
    </row>
    <row r="43" spans="2:35" x14ac:dyDescent="0.25">
      <c r="B43" s="7"/>
      <c r="C43" t="s">
        <v>23</v>
      </c>
      <c r="Q43" s="8"/>
      <c r="T43" s="7"/>
      <c r="V43">
        <v>12</v>
      </c>
      <c r="W43">
        <v>0.25</v>
      </c>
      <c r="X43">
        <v>0.2</v>
      </c>
      <c r="Y43">
        <v>0.16</v>
      </c>
      <c r="Z43">
        <v>0.155</v>
      </c>
      <c r="AA43">
        <v>0.14000000000000001</v>
      </c>
      <c r="AB43">
        <v>0.13</v>
      </c>
      <c r="AI43" s="8"/>
    </row>
    <row r="44" spans="2:35" ht="15.75" thickBot="1" x14ac:dyDescent="0.3">
      <c r="B44" s="7"/>
      <c r="C44" s="28" t="s">
        <v>12</v>
      </c>
      <c r="D44" s="26">
        <v>1</v>
      </c>
      <c r="E44" s="27">
        <v>2</v>
      </c>
      <c r="F44" s="27">
        <v>3</v>
      </c>
      <c r="G44" s="28">
        <v>4</v>
      </c>
      <c r="H44" s="28">
        <v>5</v>
      </c>
      <c r="I44" s="32">
        <v>6</v>
      </c>
      <c r="J44" s="32">
        <v>7</v>
      </c>
      <c r="K44" s="32">
        <v>8</v>
      </c>
      <c r="L44" s="32">
        <v>9</v>
      </c>
      <c r="M44" s="32">
        <v>10</v>
      </c>
      <c r="N44" s="32">
        <v>11</v>
      </c>
      <c r="O44" s="32">
        <v>12</v>
      </c>
      <c r="Q44" s="8"/>
      <c r="T44" s="7"/>
      <c r="V44"/>
      <c r="W44"/>
      <c r="X44"/>
      <c r="Y44"/>
      <c r="Z44"/>
      <c r="AA44"/>
      <c r="AB44"/>
      <c r="AI44" s="8"/>
    </row>
    <row r="45" spans="2:35" x14ac:dyDescent="0.25">
      <c r="B45" s="7"/>
      <c r="C45" s="28" t="s">
        <v>24</v>
      </c>
      <c r="D45" s="33">
        <f t="shared" ref="D45:O45" si="8">+IF(M14&gt;M13,M14,L14*$AB$29)</f>
        <v>10</v>
      </c>
      <c r="E45" s="33">
        <f t="shared" si="8"/>
        <v>33</v>
      </c>
      <c r="F45" s="33">
        <f t="shared" si="8"/>
        <v>26.400000000000002</v>
      </c>
      <c r="G45" s="33">
        <f t="shared" si="8"/>
        <v>39</v>
      </c>
      <c r="H45" s="33">
        <f t="shared" si="8"/>
        <v>31.200000000000003</v>
      </c>
      <c r="I45" s="33">
        <f t="shared" si="8"/>
        <v>4</v>
      </c>
      <c r="J45" s="33">
        <f t="shared" si="8"/>
        <v>0</v>
      </c>
      <c r="K45" s="33">
        <f t="shared" si="8"/>
        <v>0</v>
      </c>
      <c r="L45" s="33">
        <f t="shared" si="8"/>
        <v>0</v>
      </c>
      <c r="M45" s="33">
        <f t="shared" si="8"/>
        <v>0</v>
      </c>
      <c r="N45" s="33">
        <f t="shared" si="8"/>
        <v>0</v>
      </c>
      <c r="O45" s="33">
        <f t="shared" si="8"/>
        <v>0</v>
      </c>
      <c r="Q45" s="8"/>
      <c r="T45" s="7"/>
      <c r="V45"/>
      <c r="W45" s="4"/>
      <c r="X45" s="51" t="s">
        <v>17</v>
      </c>
      <c r="Y45" s="86" t="s">
        <v>105</v>
      </c>
      <c r="Z45"/>
      <c r="AA45"/>
      <c r="AB45"/>
      <c r="AI45" s="8"/>
    </row>
    <row r="46" spans="2:35" x14ac:dyDescent="0.25">
      <c r="B46" s="7"/>
      <c r="C46" s="2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Q46" s="8"/>
      <c r="T46" s="7"/>
      <c r="V46"/>
      <c r="W46" s="7"/>
      <c r="X46">
        <f>+IF($X$37&gt;AA40,6,IF(X37&gt;Z40,5,IF(X37&gt;Y40,4,IF(X37&gt;X40,3,IF(X37&gt;W40,2,1)))))</f>
        <v>1</v>
      </c>
      <c r="Y46" s="39">
        <f>+IF($Y$37&lt;=3,1,IF(Y37&lt;=6,2,3))</f>
        <v>2</v>
      </c>
      <c r="Z46"/>
      <c r="AA46"/>
      <c r="AB46"/>
      <c r="AI46" s="8"/>
    </row>
    <row r="47" spans="2:35" x14ac:dyDescent="0.25">
      <c r="B47" s="7"/>
      <c r="C47" s="28" t="s">
        <v>25</v>
      </c>
      <c r="D47" s="33">
        <f t="shared" ref="D47:O47" si="9">+(M11+M12)*$AB$26</f>
        <v>14.94</v>
      </c>
      <c r="E47" s="33">
        <f t="shared" si="9"/>
        <v>15.389999999999999</v>
      </c>
      <c r="F47" s="33">
        <f t="shared" si="9"/>
        <v>16.559999999999999</v>
      </c>
      <c r="G47" s="33">
        <f t="shared" si="9"/>
        <v>14.219999999999999</v>
      </c>
      <c r="H47" s="33">
        <f t="shared" si="9"/>
        <v>14.76</v>
      </c>
      <c r="I47" s="33">
        <f t="shared" si="9"/>
        <v>14.129999999999999</v>
      </c>
      <c r="J47" s="33">
        <f t="shared" si="9"/>
        <v>0</v>
      </c>
      <c r="K47" s="33">
        <f t="shared" si="9"/>
        <v>0</v>
      </c>
      <c r="L47" s="33">
        <f t="shared" si="9"/>
        <v>0</v>
      </c>
      <c r="M47" s="33">
        <f t="shared" si="9"/>
        <v>0</v>
      </c>
      <c r="N47" s="33">
        <f t="shared" si="9"/>
        <v>0</v>
      </c>
      <c r="O47" s="33">
        <f t="shared" si="9"/>
        <v>0</v>
      </c>
      <c r="Q47" s="8"/>
      <c r="T47" s="7"/>
      <c r="V47"/>
      <c r="W47" s="7"/>
      <c r="X47"/>
      <c r="Y47" s="39" cm="1">
        <f t="array" ref="Y47">+INDEX(W41:AB43,Y46,X46)</f>
        <v>0.32</v>
      </c>
      <c r="Z47"/>
      <c r="AA47"/>
      <c r="AB47"/>
      <c r="AI47" s="8"/>
    </row>
    <row r="48" spans="2:35" x14ac:dyDescent="0.25">
      <c r="B48" s="7"/>
      <c r="C48" t="s">
        <v>114</v>
      </c>
      <c r="D48" s="34">
        <f>+MAX(D45:L45)</f>
        <v>39</v>
      </c>
      <c r="Q48" s="8"/>
      <c r="T48" s="7"/>
      <c r="W48" s="7"/>
      <c r="Y48" s="8"/>
      <c r="AI48" s="8"/>
    </row>
    <row r="49" spans="2:35" x14ac:dyDescent="0.25">
      <c r="B49" s="7"/>
      <c r="C49"/>
      <c r="D49" s="17" t="s">
        <v>27</v>
      </c>
      <c r="Q49" s="8"/>
      <c r="T49" s="7"/>
      <c r="W49" s="9" t="s">
        <v>22</v>
      </c>
      <c r="X49" s="98">
        <f>+Y58</f>
        <v>70.2</v>
      </c>
      <c r="Y49" s="8"/>
      <c r="AI49" s="8"/>
    </row>
    <row r="50" spans="2:35" ht="15.75" thickBot="1" x14ac:dyDescent="0.3">
      <c r="B50" s="18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/>
      <c r="T50" s="7"/>
      <c r="W50" s="64" t="s">
        <v>26</v>
      </c>
      <c r="X50" s="99">
        <f>12-COUNTIF(D45:O45,"0")</f>
        <v>6</v>
      </c>
      <c r="Y50" s="21"/>
      <c r="AI50" s="8"/>
    </row>
    <row r="51" spans="2:35" x14ac:dyDescent="0.25">
      <c r="B51" s="7"/>
      <c r="Q51" s="8"/>
      <c r="T51" s="7"/>
      <c r="AI51" s="8"/>
    </row>
    <row r="52" spans="2:35" ht="15.75" thickBot="1" x14ac:dyDescent="0.3">
      <c r="B52" s="9" t="s">
        <v>28</v>
      </c>
      <c r="Q52" s="8"/>
      <c r="T52" s="7"/>
      <c r="AI52" s="8"/>
    </row>
    <row r="53" spans="2:35" x14ac:dyDescent="0.25">
      <c r="B53" s="7"/>
      <c r="L53" s="22" t="s">
        <v>116</v>
      </c>
      <c r="M53" s="86" t="s">
        <v>30</v>
      </c>
      <c r="N53" s="113" t="s">
        <v>122</v>
      </c>
      <c r="Q53" s="8"/>
      <c r="T53" s="7"/>
      <c r="AI53" s="8"/>
    </row>
    <row r="54" spans="2:35" ht="15.75" thickBot="1" x14ac:dyDescent="0.3">
      <c r="B54" s="9" t="s">
        <v>31</v>
      </c>
      <c r="K54" s="1">
        <f>+COUNTIF(D30:O30,"&gt;0")</f>
        <v>6</v>
      </c>
      <c r="L54" s="87">
        <f>+SUM(D30:O30)/K54</f>
        <v>18.733333333333334</v>
      </c>
      <c r="M54" s="21">
        <f>12-COUNTIF(D45:O45,"0")</f>
        <v>6</v>
      </c>
      <c r="N54" s="114">
        <f>+Y55</f>
        <v>39</v>
      </c>
      <c r="Q54" s="8"/>
      <c r="T54" s="7"/>
      <c r="Y54" s="1" t="s">
        <v>115</v>
      </c>
      <c r="AI54" s="8"/>
    </row>
    <row r="55" spans="2:35" ht="15.75" thickBot="1" x14ac:dyDescent="0.3">
      <c r="B55" s="7"/>
      <c r="C55"/>
      <c r="Q55" s="8"/>
      <c r="T55" s="7"/>
      <c r="U55" t="s">
        <v>32</v>
      </c>
      <c r="Y55" s="101">
        <f>+MAX(D45:O45)</f>
        <v>39</v>
      </c>
      <c r="AI55" s="8"/>
    </row>
    <row r="56" spans="2:35" x14ac:dyDescent="0.25">
      <c r="B56" s="35" t="s">
        <v>33</v>
      </c>
      <c r="C56" s="13"/>
      <c r="D56" s="36" t="s">
        <v>34</v>
      </c>
      <c r="E56" s="22" t="s">
        <v>35</v>
      </c>
      <c r="F56" s="5"/>
      <c r="G56" s="5"/>
      <c r="H56" s="5"/>
      <c r="I56" s="6"/>
      <c r="L56">
        <f>+IF($L$54&gt;I57,6,IF(L54&gt;H57,5,IF(L54&gt;G57,4,IF(L54&gt;F57,3,IF(L54&gt;E57,2,1)))))</f>
        <v>1</v>
      </c>
      <c r="M56">
        <f>+IF($M$54&lt;=3,1,IF(M54&lt;=6,2,3))</f>
        <v>2</v>
      </c>
      <c r="Q56" s="8"/>
      <c r="T56" s="7"/>
      <c r="V56" s="1" t="s">
        <v>36</v>
      </c>
      <c r="W56" s="186" t="s">
        <v>37</v>
      </c>
      <c r="Y56" s="37" t="s">
        <v>38</v>
      </c>
      <c r="Z56" s="38"/>
      <c r="AI56" s="8"/>
    </row>
    <row r="57" spans="2:35" ht="15.75" thickBot="1" x14ac:dyDescent="0.3">
      <c r="B57" s="7"/>
      <c r="C57"/>
      <c r="D57" s="1" t="s">
        <v>120</v>
      </c>
      <c r="E57" s="9">
        <v>100</v>
      </c>
      <c r="F57">
        <v>500</v>
      </c>
      <c r="G57">
        <v>1000</v>
      </c>
      <c r="H57">
        <v>3000</v>
      </c>
      <c r="I57" s="39">
        <v>5000</v>
      </c>
      <c r="J57"/>
      <c r="K57"/>
      <c r="L57"/>
      <c r="M57"/>
      <c r="N57"/>
      <c r="O57"/>
      <c r="Q57" s="8"/>
      <c r="T57" s="7"/>
      <c r="U57" t="s">
        <v>39</v>
      </c>
      <c r="V57" s="1">
        <f>+Y47</f>
        <v>0.32</v>
      </c>
      <c r="W57" s="188">
        <v>39643.599999999999</v>
      </c>
      <c r="Y57" s="40" t="s">
        <v>17</v>
      </c>
      <c r="Z57" s="41"/>
      <c r="AI57" s="8"/>
    </row>
    <row r="58" spans="2:35" ht="15.75" thickBot="1" x14ac:dyDescent="0.3">
      <c r="B58" s="7"/>
      <c r="C58" t="s">
        <v>52</v>
      </c>
      <c r="D58">
        <v>3</v>
      </c>
      <c r="E58" s="42">
        <v>0.26</v>
      </c>
      <c r="F58" s="42">
        <v>0.22</v>
      </c>
      <c r="G58" s="42">
        <v>0.21</v>
      </c>
      <c r="H58" s="42">
        <v>0.2</v>
      </c>
      <c r="I58" s="43">
        <v>0.19500000000000001</v>
      </c>
      <c r="J58" s="44"/>
      <c r="K58" s="45" t="s">
        <v>40</v>
      </c>
      <c r="L58" s="46" cm="1">
        <f t="array" ref="L58">+INDEX(E58:J60,M56,L56)</f>
        <v>0.24</v>
      </c>
      <c r="M58" s="44"/>
      <c r="N58" s="44"/>
      <c r="O58" s="44"/>
      <c r="Q58" s="8"/>
      <c r="T58" s="7"/>
      <c r="U58" t="s">
        <v>41</v>
      </c>
      <c r="V58" s="2" t="s">
        <v>42</v>
      </c>
      <c r="W58" s="107">
        <v>1.8</v>
      </c>
      <c r="X58" s="75" t="s">
        <v>43</v>
      </c>
      <c r="Y58" s="108">
        <f>+W58*Y55</f>
        <v>70.2</v>
      </c>
      <c r="Z58" s="47"/>
      <c r="AI58" s="8"/>
    </row>
    <row r="59" spans="2:35" ht="15.75" thickBot="1" x14ac:dyDescent="0.3">
      <c r="B59" s="7"/>
      <c r="D59">
        <v>6</v>
      </c>
      <c r="E59" s="48">
        <v>0.24</v>
      </c>
      <c r="F59" s="48">
        <v>0.22</v>
      </c>
      <c r="G59" s="48">
        <v>0.21</v>
      </c>
      <c r="H59" s="48">
        <v>0.2</v>
      </c>
      <c r="I59" s="48">
        <v>0.19500000000000001</v>
      </c>
      <c r="J59" s="44"/>
      <c r="K59" s="44"/>
      <c r="L59" s="44"/>
      <c r="M59" s="44"/>
      <c r="N59" s="44"/>
      <c r="O59" s="44"/>
      <c r="Q59" s="8"/>
      <c r="T59" s="7"/>
      <c r="AI59" s="8"/>
    </row>
    <row r="60" spans="2:35" ht="15.75" thickBot="1" x14ac:dyDescent="0.3">
      <c r="B60" s="7"/>
      <c r="D60">
        <v>12</v>
      </c>
      <c r="E60" s="49">
        <v>0.23749999999999999</v>
      </c>
      <c r="F60" s="49">
        <v>0.20899999999999999</v>
      </c>
      <c r="G60" s="49">
        <v>0.19949999999999998</v>
      </c>
      <c r="H60" s="49">
        <v>0.19500000000000001</v>
      </c>
      <c r="I60" s="49">
        <v>0.18525</v>
      </c>
      <c r="J60" s="44"/>
      <c r="K60" s="44"/>
      <c r="L60" s="44"/>
      <c r="M60" s="44"/>
      <c r="N60" s="44"/>
      <c r="O60" s="44"/>
      <c r="Q60" s="8"/>
      <c r="T60" s="7"/>
      <c r="U60" t="s">
        <v>44</v>
      </c>
      <c r="AC60" s="1" t="s">
        <v>131</v>
      </c>
      <c r="AD60" s="1" t="s">
        <v>132</v>
      </c>
      <c r="AE60" s="1" t="s">
        <v>133</v>
      </c>
      <c r="AF60" t="s">
        <v>134</v>
      </c>
      <c r="AI60" s="8"/>
    </row>
    <row r="61" spans="2:35" ht="15.75" thickBot="1" x14ac:dyDescent="0.3">
      <c r="B61" s="7"/>
      <c r="Q61" s="8"/>
      <c r="T61" s="7"/>
      <c r="U61" s="50" t="s">
        <v>45</v>
      </c>
      <c r="V61" s="51"/>
      <c r="W61" s="51"/>
      <c r="X61" s="51"/>
      <c r="Y61" s="86"/>
      <c r="Z61"/>
      <c r="AC61" s="1">
        <f>+Y11</f>
        <v>500</v>
      </c>
      <c r="AD61" s="1">
        <f>+AA69</f>
        <v>24</v>
      </c>
      <c r="AE61" s="1">
        <f>+AC61/AD61</f>
        <v>20.833333333333332</v>
      </c>
      <c r="AF61" s="1">
        <v>5</v>
      </c>
      <c r="AG61" s="1">
        <f>+AF61*AE61</f>
        <v>104.16666666666666</v>
      </c>
      <c r="AH61" s="1">
        <f>+AG61</f>
        <v>104.16666666666666</v>
      </c>
      <c r="AI61" s="129">
        <f>+AH61*W57</f>
        <v>4129541.666666666</v>
      </c>
    </row>
    <row r="62" spans="2:35" x14ac:dyDescent="0.25">
      <c r="B62" s="9" t="s">
        <v>46</v>
      </c>
      <c r="D62" s="36" t="s">
        <v>47</v>
      </c>
      <c r="E62" s="22" t="s">
        <v>35</v>
      </c>
      <c r="F62" s="5"/>
      <c r="G62" s="5"/>
      <c r="H62" s="5"/>
      <c r="I62" s="6"/>
      <c r="L62">
        <f>+IF($L$54&gt;I57,6,IF(L54&gt;H57,5,IF(L54&gt;G57,4,IF(L54&gt;F57,3,IF(L54&gt;E57,2,1)))))</f>
        <v>1</v>
      </c>
      <c r="M62">
        <f>+IF($M$54&lt;=3,1,IF(M54&lt;=6,2,3))</f>
        <v>2</v>
      </c>
      <c r="Q62" s="8"/>
      <c r="T62" s="7"/>
      <c r="U62" s="9" t="s">
        <v>48</v>
      </c>
      <c r="V62" t="s">
        <v>49</v>
      </c>
      <c r="W62" s="52">
        <v>27000</v>
      </c>
      <c r="X62" s="84">
        <f>+W62*30</f>
        <v>810000</v>
      </c>
      <c r="Y62" s="91"/>
      <c r="AI62" s="8"/>
    </row>
    <row r="63" spans="2:35" ht="15.75" thickBot="1" x14ac:dyDescent="0.3">
      <c r="B63" s="7"/>
      <c r="C63"/>
      <c r="D63" t="s">
        <v>50</v>
      </c>
      <c r="E63" s="9">
        <v>100</v>
      </c>
      <c r="F63">
        <v>500</v>
      </c>
      <c r="G63">
        <v>1000</v>
      </c>
      <c r="H63">
        <v>3000</v>
      </c>
      <c r="I63" s="39">
        <v>5000</v>
      </c>
      <c r="J63"/>
      <c r="K63"/>
      <c r="L63"/>
      <c r="M63"/>
      <c r="N63"/>
      <c r="O63"/>
      <c r="Q63" s="8"/>
      <c r="T63" s="7"/>
      <c r="U63" s="9"/>
      <c r="V63" t="s">
        <v>51</v>
      </c>
      <c r="W63" s="53">
        <f>+W62*4</f>
        <v>108000</v>
      </c>
      <c r="X63"/>
      <c r="Y63" s="91"/>
      <c r="AC63" s="1" t="s">
        <v>135</v>
      </c>
      <c r="AE63" s="73">
        <f>+W62</f>
        <v>27000</v>
      </c>
      <c r="AF63" s="1">
        <v>1.2</v>
      </c>
      <c r="AG63" s="1" t="s">
        <v>136</v>
      </c>
      <c r="AI63" s="8"/>
    </row>
    <row r="64" spans="2:35" ht="15.75" thickBot="1" x14ac:dyDescent="0.3">
      <c r="B64" s="7"/>
      <c r="D64" s="2">
        <v>3</v>
      </c>
      <c r="E64" s="88">
        <v>0.12</v>
      </c>
      <c r="F64" s="54">
        <v>0.12</v>
      </c>
      <c r="G64" s="54">
        <v>0.115</v>
      </c>
      <c r="H64" s="54">
        <v>0.11</v>
      </c>
      <c r="I64" s="55">
        <v>0.1</v>
      </c>
      <c r="J64" s="56"/>
      <c r="K64" s="57" t="s">
        <v>53</v>
      </c>
      <c r="L64" s="46" cm="1">
        <f t="array" ref="L64">+INDEX(E64:J66,M62,L62)</f>
        <v>0.12</v>
      </c>
      <c r="M64" s="56"/>
      <c r="N64" s="56"/>
      <c r="O64" s="56"/>
      <c r="Q64" s="8"/>
      <c r="T64" s="7"/>
      <c r="U64" s="9" t="s">
        <v>54</v>
      </c>
      <c r="V64"/>
      <c r="W64"/>
      <c r="X64"/>
      <c r="Y64" s="92"/>
      <c r="AE64" s="1">
        <f>+AC61/AD61</f>
        <v>20.833333333333332</v>
      </c>
      <c r="AI64" s="8"/>
    </row>
    <row r="65" spans="2:35" ht="15.75" thickBot="1" x14ac:dyDescent="0.3">
      <c r="B65" s="7"/>
      <c r="D65">
        <v>6</v>
      </c>
      <c r="E65" s="58">
        <v>0.12</v>
      </c>
      <c r="F65" s="59">
        <f t="shared" ref="F65" si="10">+E65</f>
        <v>0.12</v>
      </c>
      <c r="G65" s="59">
        <v>0.115</v>
      </c>
      <c r="H65" s="59">
        <v>0.11</v>
      </c>
      <c r="I65" s="55">
        <v>0.1</v>
      </c>
      <c r="J65" s="56"/>
      <c r="K65" s="56"/>
      <c r="M65"/>
      <c r="N65" s="56"/>
      <c r="O65" s="56"/>
      <c r="Q65" s="8"/>
      <c r="T65" s="7"/>
      <c r="U65" s="9" t="s">
        <v>55</v>
      </c>
      <c r="V65"/>
      <c r="W65"/>
      <c r="X65" t="s">
        <v>56</v>
      </c>
      <c r="Y65" s="91"/>
      <c r="AE65" s="73">
        <f>+AE64*AE63</f>
        <v>562500</v>
      </c>
      <c r="AI65" s="8"/>
    </row>
    <row r="66" spans="2:35" ht="15.75" thickBot="1" x14ac:dyDescent="0.3">
      <c r="B66" s="7"/>
      <c r="D66">
        <v>12</v>
      </c>
      <c r="E66" s="58">
        <v>0.13</v>
      </c>
      <c r="F66" s="59">
        <f>+E66</f>
        <v>0.13</v>
      </c>
      <c r="G66" s="59">
        <v>0.125</v>
      </c>
      <c r="H66" s="59">
        <v>0.11</v>
      </c>
      <c r="I66" s="55">
        <v>0.11</v>
      </c>
      <c r="J66" s="56"/>
      <c r="K66" s="56"/>
      <c r="L66" s="56"/>
      <c r="M66" s="56"/>
      <c r="N66" s="56"/>
      <c r="O66" s="56"/>
      <c r="Q66" s="8"/>
      <c r="T66" s="7"/>
      <c r="U66" s="9"/>
      <c r="V66"/>
      <c r="W66"/>
      <c r="X66"/>
      <c r="Y66" s="91"/>
      <c r="AI66" s="8"/>
    </row>
    <row r="67" spans="2:35" x14ac:dyDescent="0.25">
      <c r="B67" s="7"/>
      <c r="E67" s="56"/>
      <c r="F67" s="56"/>
      <c r="G67" s="56"/>
      <c r="H67" s="57"/>
      <c r="I67" s="57"/>
      <c r="J67" s="57"/>
      <c r="K67" s="57"/>
      <c r="L67" s="57"/>
      <c r="M67" s="57"/>
      <c r="N67" s="57"/>
      <c r="O67" s="57"/>
      <c r="Q67" s="8"/>
      <c r="T67" s="7"/>
      <c r="U67" s="9" t="s">
        <v>57</v>
      </c>
      <c r="V67" t="s">
        <v>58</v>
      </c>
      <c r="W67">
        <v>70</v>
      </c>
      <c r="X67" t="s">
        <v>59</v>
      </c>
      <c r="Y67" s="91"/>
      <c r="AI67" s="8"/>
    </row>
    <row r="68" spans="2:35" x14ac:dyDescent="0.25">
      <c r="B68" s="9" t="s">
        <v>60</v>
      </c>
      <c r="E68" s="56"/>
      <c r="F68" s="56"/>
      <c r="G68" s="56"/>
      <c r="H68" s="57"/>
      <c r="I68" s="57"/>
      <c r="J68" s="57"/>
      <c r="K68" s="57"/>
      <c r="L68" s="57"/>
      <c r="M68" s="57"/>
      <c r="N68" s="57"/>
      <c r="O68" s="57"/>
      <c r="Q68" s="8"/>
      <c r="T68" s="7"/>
      <c r="U68" s="9" t="s">
        <v>54</v>
      </c>
      <c r="V68" s="1">
        <f>+IF(Y55&lt;350,1,IF(Y55&lt;1000,2,IF(Y55&lt;3100,3,IF(Y55&lt;5000,4,1))))</f>
        <v>1</v>
      </c>
      <c r="W68" s="60">
        <f>850000</f>
        <v>850000</v>
      </c>
      <c r="Y68" s="8"/>
      <c r="Z68" s="76"/>
      <c r="AA68" s="1">
        <v>5.5</v>
      </c>
      <c r="AB68" t="s">
        <v>61</v>
      </c>
      <c r="AC68" t="s">
        <v>62</v>
      </c>
      <c r="AI68" s="8"/>
    </row>
    <row r="69" spans="2:35" x14ac:dyDescent="0.25">
      <c r="B69" s="7"/>
      <c r="C69" t="s">
        <v>63</v>
      </c>
      <c r="Q69" s="8"/>
      <c r="T69" s="7"/>
      <c r="U69" s="61" t="s">
        <v>64</v>
      </c>
      <c r="V69" s="62"/>
      <c r="W69" s="60">
        <v>1500000</v>
      </c>
      <c r="X69" s="63">
        <v>0.25</v>
      </c>
      <c r="Y69" s="93"/>
      <c r="AA69" s="1">
        <v>24</v>
      </c>
      <c r="AB69" t="s">
        <v>29</v>
      </c>
      <c r="AC69" t="s">
        <v>65</v>
      </c>
      <c r="AD69" t="s">
        <v>66</v>
      </c>
      <c r="AI69" s="8"/>
    </row>
    <row r="70" spans="2:35" ht="15.75" thickBot="1" x14ac:dyDescent="0.3">
      <c r="B70" s="7"/>
      <c r="C70" s="28" t="s">
        <v>12</v>
      </c>
      <c r="D70" s="27">
        <v>1</v>
      </c>
      <c r="E70" s="27">
        <v>2</v>
      </c>
      <c r="F70" s="27">
        <v>3</v>
      </c>
      <c r="G70" s="27">
        <v>4</v>
      </c>
      <c r="H70" s="27">
        <v>5</v>
      </c>
      <c r="I70" s="27">
        <v>6</v>
      </c>
      <c r="J70" s="27">
        <v>7</v>
      </c>
      <c r="K70" s="27">
        <v>8</v>
      </c>
      <c r="L70" s="27">
        <v>9</v>
      </c>
      <c r="M70" s="27">
        <v>10</v>
      </c>
      <c r="N70" s="27">
        <v>11</v>
      </c>
      <c r="O70" s="27">
        <v>12</v>
      </c>
      <c r="P70" s="27" t="s">
        <v>67</v>
      </c>
      <c r="Q70" s="8"/>
      <c r="T70" s="7"/>
      <c r="U70" s="64" t="s">
        <v>68</v>
      </c>
      <c r="V70" s="20"/>
      <c r="W70" s="161">
        <f>+W69*X69+W68</f>
        <v>1225000</v>
      </c>
      <c r="X70" s="20"/>
      <c r="Y70" s="94"/>
      <c r="AI70" s="8"/>
    </row>
    <row r="71" spans="2:35" ht="15.75" thickBot="1" x14ac:dyDescent="0.3">
      <c r="B71" s="7"/>
      <c r="C71" s="28" t="s">
        <v>13</v>
      </c>
      <c r="D71" s="27">
        <f t="shared" ref="D71:O73" si="11">+M11</f>
        <v>88</v>
      </c>
      <c r="E71" s="27">
        <f t="shared" si="11"/>
        <v>97</v>
      </c>
      <c r="F71" s="27">
        <f t="shared" si="11"/>
        <v>86</v>
      </c>
      <c r="G71" s="27">
        <f t="shared" si="11"/>
        <v>88</v>
      </c>
      <c r="H71" s="27">
        <f t="shared" si="11"/>
        <v>65</v>
      </c>
      <c r="I71" s="27">
        <f t="shared" si="11"/>
        <v>76</v>
      </c>
      <c r="J71" s="27">
        <f t="shared" si="11"/>
        <v>0</v>
      </c>
      <c r="K71" s="27">
        <f t="shared" si="11"/>
        <v>0</v>
      </c>
      <c r="L71" s="27">
        <f t="shared" si="11"/>
        <v>0</v>
      </c>
      <c r="M71" s="27">
        <f t="shared" si="11"/>
        <v>0</v>
      </c>
      <c r="N71" s="27">
        <f t="shared" si="11"/>
        <v>0</v>
      </c>
      <c r="O71" s="27">
        <f t="shared" si="11"/>
        <v>0</v>
      </c>
      <c r="P71" s="65">
        <f>SUM(D71:K71)</f>
        <v>500</v>
      </c>
      <c r="Q71" s="8"/>
      <c r="T71" s="7"/>
      <c r="U71" s="75"/>
      <c r="V71" s="78"/>
      <c r="W71" s="74">
        <f>+W70/40/4.2</f>
        <v>7291.6666666666661</v>
      </c>
      <c r="X71" s="78"/>
      <c r="Y71" s="95"/>
      <c r="AI71" s="8"/>
    </row>
    <row r="72" spans="2:35" x14ac:dyDescent="0.25">
      <c r="B72" s="7"/>
      <c r="C72" s="28" t="s">
        <v>5</v>
      </c>
      <c r="D72" s="27">
        <f t="shared" si="11"/>
        <v>78</v>
      </c>
      <c r="E72" s="27">
        <f t="shared" si="11"/>
        <v>74</v>
      </c>
      <c r="F72" s="27">
        <f t="shared" si="11"/>
        <v>98</v>
      </c>
      <c r="G72" s="27">
        <f t="shared" si="11"/>
        <v>70</v>
      </c>
      <c r="H72" s="27">
        <f t="shared" si="11"/>
        <v>99</v>
      </c>
      <c r="I72" s="27">
        <f t="shared" si="11"/>
        <v>81</v>
      </c>
      <c r="J72" s="27">
        <f t="shared" si="11"/>
        <v>0</v>
      </c>
      <c r="K72" s="27">
        <f t="shared" si="11"/>
        <v>0</v>
      </c>
      <c r="L72" s="27">
        <f t="shared" si="11"/>
        <v>0</v>
      </c>
      <c r="M72" s="27">
        <f t="shared" si="11"/>
        <v>0</v>
      </c>
      <c r="N72" s="27">
        <f t="shared" si="11"/>
        <v>0</v>
      </c>
      <c r="O72" s="27">
        <f t="shared" si="11"/>
        <v>0</v>
      </c>
      <c r="P72" s="65">
        <f>SUM(D72:K72)</f>
        <v>500</v>
      </c>
      <c r="Q72" s="8"/>
      <c r="T72" s="7"/>
      <c r="U72"/>
      <c r="W72" s="162"/>
      <c r="AI72" s="8"/>
    </row>
    <row r="73" spans="2:35" x14ac:dyDescent="0.25">
      <c r="B73" s="7"/>
      <c r="C73" s="28" t="s">
        <v>16</v>
      </c>
      <c r="D73" s="27">
        <f t="shared" si="11"/>
        <v>9.4</v>
      </c>
      <c r="E73" s="27">
        <f t="shared" si="11"/>
        <v>21.5</v>
      </c>
      <c r="F73" s="27">
        <f t="shared" si="11"/>
        <v>27</v>
      </c>
      <c r="G73" s="27">
        <f t="shared" si="11"/>
        <v>30</v>
      </c>
      <c r="H73" s="27">
        <f t="shared" si="11"/>
        <v>22</v>
      </c>
      <c r="I73" s="27">
        <f t="shared" si="11"/>
        <v>2.5</v>
      </c>
      <c r="J73" s="27">
        <f t="shared" si="11"/>
        <v>0</v>
      </c>
      <c r="K73" s="27">
        <f t="shared" si="11"/>
        <v>0</v>
      </c>
      <c r="L73" s="27">
        <f t="shared" si="11"/>
        <v>0</v>
      </c>
      <c r="M73" s="27">
        <f t="shared" si="11"/>
        <v>0</v>
      </c>
      <c r="N73" s="27">
        <f t="shared" si="11"/>
        <v>0</v>
      </c>
      <c r="O73" s="27">
        <f t="shared" si="11"/>
        <v>0</v>
      </c>
      <c r="P73" s="65">
        <f>SUM(D73:K73)</f>
        <v>112.4</v>
      </c>
      <c r="Q73" s="8">
        <f>+P73/8</f>
        <v>14.05</v>
      </c>
      <c r="T73" s="7"/>
      <c r="AI73" s="8"/>
    </row>
    <row r="74" spans="2:35" x14ac:dyDescent="0.25">
      <c r="B74" s="7"/>
      <c r="Q74" s="8"/>
      <c r="T74" s="7"/>
      <c r="U74"/>
      <c r="AI74" s="8"/>
    </row>
    <row r="75" spans="2:35" x14ac:dyDescent="0.25">
      <c r="B75" s="7"/>
      <c r="C75" t="s">
        <v>69</v>
      </c>
      <c r="D75" s="66"/>
      <c r="Q75" s="8"/>
      <c r="T75" s="7"/>
      <c r="AI75" s="8"/>
    </row>
    <row r="76" spans="2:35" x14ac:dyDescent="0.25">
      <c r="B76" s="7"/>
      <c r="C76" s="28" t="s">
        <v>12</v>
      </c>
      <c r="D76" s="27">
        <v>1</v>
      </c>
      <c r="E76" s="27">
        <v>2</v>
      </c>
      <c r="F76" s="27">
        <v>3</v>
      </c>
      <c r="G76" s="27">
        <v>4</v>
      </c>
      <c r="H76" s="27">
        <v>5</v>
      </c>
      <c r="I76" s="27">
        <v>6</v>
      </c>
      <c r="J76" s="27">
        <v>7</v>
      </c>
      <c r="K76" s="27">
        <v>8</v>
      </c>
      <c r="L76" s="27">
        <v>9</v>
      </c>
      <c r="M76" s="27">
        <v>10</v>
      </c>
      <c r="N76" s="27">
        <v>11</v>
      </c>
      <c r="O76" s="27">
        <v>12</v>
      </c>
      <c r="Q76" s="8"/>
      <c r="T76" s="7"/>
      <c r="U76" t="s">
        <v>70</v>
      </c>
      <c r="V76" t="s">
        <v>71</v>
      </c>
      <c r="W76" s="98">
        <v>40000</v>
      </c>
      <c r="X76" s="98"/>
      <c r="AI76" s="8"/>
    </row>
    <row r="77" spans="2:35" ht="15.75" thickBot="1" x14ac:dyDescent="0.3">
      <c r="B77" s="7"/>
      <c r="C77" s="28" t="s">
        <v>13</v>
      </c>
      <c r="D77" s="67">
        <f>+$L$64</f>
        <v>0.12</v>
      </c>
      <c r="E77" s="67">
        <f t="shared" ref="E77:O77" si="12">+$L$64</f>
        <v>0.12</v>
      </c>
      <c r="F77" s="67">
        <f t="shared" si="12"/>
        <v>0.12</v>
      </c>
      <c r="G77" s="67">
        <f t="shared" si="12"/>
        <v>0.12</v>
      </c>
      <c r="H77" s="67">
        <f t="shared" si="12"/>
        <v>0.12</v>
      </c>
      <c r="I77" s="67">
        <f t="shared" si="12"/>
        <v>0.12</v>
      </c>
      <c r="J77" s="67">
        <f t="shared" si="12"/>
        <v>0.12</v>
      </c>
      <c r="K77" s="67">
        <f t="shared" si="12"/>
        <v>0.12</v>
      </c>
      <c r="L77" s="67">
        <f t="shared" si="12"/>
        <v>0.12</v>
      </c>
      <c r="M77" s="67">
        <f t="shared" si="12"/>
        <v>0.12</v>
      </c>
      <c r="N77" s="67">
        <f t="shared" si="12"/>
        <v>0.12</v>
      </c>
      <c r="O77" s="67">
        <f t="shared" si="12"/>
        <v>0.12</v>
      </c>
      <c r="Q77" s="8"/>
      <c r="T77" s="7"/>
      <c r="W77" s="102">
        <f>+W76*V86*4</f>
        <v>99599.999999999985</v>
      </c>
      <c r="Y77" s="34"/>
      <c r="AI77" s="8"/>
    </row>
    <row r="78" spans="2:35" x14ac:dyDescent="0.25">
      <c r="B78" s="7"/>
      <c r="C78" s="28" t="s">
        <v>5</v>
      </c>
      <c r="D78" s="27">
        <f>+D77</f>
        <v>0.12</v>
      </c>
      <c r="E78" s="67">
        <f t="shared" ref="E78:O78" si="13">+E77</f>
        <v>0.12</v>
      </c>
      <c r="F78" s="67">
        <f t="shared" si="13"/>
        <v>0.12</v>
      </c>
      <c r="G78" s="67">
        <f t="shared" si="13"/>
        <v>0.12</v>
      </c>
      <c r="H78" s="67">
        <f t="shared" si="13"/>
        <v>0.12</v>
      </c>
      <c r="I78" s="67">
        <f t="shared" si="13"/>
        <v>0.12</v>
      </c>
      <c r="J78" s="67">
        <f t="shared" si="13"/>
        <v>0.12</v>
      </c>
      <c r="K78" s="67">
        <f t="shared" si="13"/>
        <v>0.12</v>
      </c>
      <c r="L78" s="67">
        <f t="shared" si="13"/>
        <v>0.12</v>
      </c>
      <c r="M78" s="67">
        <f t="shared" si="13"/>
        <v>0.12</v>
      </c>
      <c r="N78" s="67">
        <f t="shared" si="13"/>
        <v>0.12</v>
      </c>
      <c r="O78" s="67">
        <f t="shared" si="13"/>
        <v>0.12</v>
      </c>
      <c r="Q78" s="8"/>
      <c r="T78" s="121"/>
      <c r="U78" s="156" t="s">
        <v>72</v>
      </c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7"/>
    </row>
    <row r="79" spans="2:35" x14ac:dyDescent="0.25">
      <c r="B79" s="7"/>
      <c r="C79" s="28" t="s">
        <v>16</v>
      </c>
      <c r="D79" s="67">
        <f>+$L$58</f>
        <v>0.24</v>
      </c>
      <c r="E79" s="27">
        <f>+D79</f>
        <v>0.24</v>
      </c>
      <c r="F79" s="27">
        <f t="shared" ref="F79:O79" si="14">+E79</f>
        <v>0.24</v>
      </c>
      <c r="G79" s="27">
        <f t="shared" si="14"/>
        <v>0.24</v>
      </c>
      <c r="H79" s="27">
        <f t="shared" si="14"/>
        <v>0.24</v>
      </c>
      <c r="I79" s="27">
        <f t="shared" si="14"/>
        <v>0.24</v>
      </c>
      <c r="J79" s="27">
        <f t="shared" si="14"/>
        <v>0.24</v>
      </c>
      <c r="K79" s="27">
        <f t="shared" si="14"/>
        <v>0.24</v>
      </c>
      <c r="L79" s="68">
        <f t="shared" si="14"/>
        <v>0.24</v>
      </c>
      <c r="M79" s="68">
        <f t="shared" si="14"/>
        <v>0.24</v>
      </c>
      <c r="N79" s="68">
        <f t="shared" si="14"/>
        <v>0.24</v>
      </c>
      <c r="O79" s="68">
        <f t="shared" si="14"/>
        <v>0.24</v>
      </c>
      <c r="Q79" s="8"/>
      <c r="T79" s="118"/>
      <c r="U79" s="109" t="s">
        <v>73</v>
      </c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9"/>
    </row>
    <row r="80" spans="2:35" x14ac:dyDescent="0.25">
      <c r="B80" s="7"/>
      <c r="C80"/>
      <c r="Q80" s="8"/>
      <c r="T80" s="118"/>
      <c r="U80" s="163" t="s">
        <v>12</v>
      </c>
      <c r="V80" s="164">
        <v>1</v>
      </c>
      <c r="W80" s="120">
        <v>2</v>
      </c>
      <c r="X80" s="120">
        <v>3</v>
      </c>
      <c r="Y80" s="163">
        <v>4</v>
      </c>
      <c r="Z80" s="163">
        <v>5</v>
      </c>
      <c r="AA80" s="165">
        <v>6</v>
      </c>
      <c r="AB80" s="165">
        <v>7</v>
      </c>
      <c r="AC80" s="165">
        <v>8</v>
      </c>
      <c r="AD80" s="165">
        <v>9</v>
      </c>
      <c r="AE80" s="165">
        <v>10</v>
      </c>
      <c r="AF80" s="165">
        <v>11</v>
      </c>
      <c r="AG80" s="165">
        <v>12</v>
      </c>
      <c r="AH80" s="110"/>
      <c r="AI80" s="119"/>
    </row>
    <row r="81" spans="2:35" x14ac:dyDescent="0.25">
      <c r="B81" s="7"/>
      <c r="Q81" s="8"/>
      <c r="T81" s="118"/>
      <c r="U81" s="163" t="s">
        <v>74</v>
      </c>
      <c r="V81" s="166">
        <f t="shared" ref="V81:AC81" si="15">+IF(D73&gt;0,$Y$58,0)</f>
        <v>70.2</v>
      </c>
      <c r="W81" s="166">
        <f t="shared" si="15"/>
        <v>70.2</v>
      </c>
      <c r="X81" s="166">
        <f t="shared" si="15"/>
        <v>70.2</v>
      </c>
      <c r="Y81" s="166">
        <f t="shared" si="15"/>
        <v>70.2</v>
      </c>
      <c r="Z81" s="167">
        <f t="shared" si="15"/>
        <v>70.2</v>
      </c>
      <c r="AA81" s="176">
        <f t="shared" si="15"/>
        <v>70.2</v>
      </c>
      <c r="AB81" s="176">
        <f t="shared" si="15"/>
        <v>0</v>
      </c>
      <c r="AC81" s="176">
        <f t="shared" si="15"/>
        <v>0</v>
      </c>
      <c r="AD81" s="176">
        <f t="shared" ref="AD81:AG81" si="16">+IF(L73&gt;0,$Y$58,0)</f>
        <v>0</v>
      </c>
      <c r="AE81" s="176">
        <f t="shared" si="16"/>
        <v>0</v>
      </c>
      <c r="AF81" s="176">
        <f t="shared" si="16"/>
        <v>0</v>
      </c>
      <c r="AG81" s="176">
        <f t="shared" si="16"/>
        <v>0</v>
      </c>
      <c r="AH81" s="110"/>
      <c r="AI81" s="119"/>
    </row>
    <row r="82" spans="2:35" x14ac:dyDescent="0.25">
      <c r="B82" s="7"/>
      <c r="C82" t="s">
        <v>75</v>
      </c>
      <c r="D82" s="66"/>
      <c r="Q82" s="8"/>
      <c r="T82" s="118"/>
      <c r="U82" s="163" t="s">
        <v>141</v>
      </c>
      <c r="V82" s="168">
        <f t="shared" ref="V82:AC82" si="17">+D45</f>
        <v>10</v>
      </c>
      <c r="W82" s="168">
        <f t="shared" si="17"/>
        <v>33</v>
      </c>
      <c r="X82" s="168">
        <f t="shared" si="17"/>
        <v>26.400000000000002</v>
      </c>
      <c r="Y82" s="168">
        <f t="shared" si="17"/>
        <v>39</v>
      </c>
      <c r="Z82" s="168">
        <f t="shared" si="17"/>
        <v>31.200000000000003</v>
      </c>
      <c r="AA82" s="168">
        <f t="shared" si="17"/>
        <v>4</v>
      </c>
      <c r="AB82" s="168">
        <f t="shared" si="17"/>
        <v>0</v>
      </c>
      <c r="AC82" s="168">
        <f t="shared" si="17"/>
        <v>0</v>
      </c>
      <c r="AD82" s="168">
        <f t="shared" ref="AD82:AG82" si="18">+L45</f>
        <v>0</v>
      </c>
      <c r="AE82" s="168">
        <f t="shared" si="18"/>
        <v>0</v>
      </c>
      <c r="AF82" s="168">
        <f t="shared" si="18"/>
        <v>0</v>
      </c>
      <c r="AG82" s="168">
        <f t="shared" si="18"/>
        <v>0</v>
      </c>
      <c r="AH82" s="110"/>
      <c r="AI82" s="119"/>
    </row>
    <row r="83" spans="2:35" x14ac:dyDescent="0.25">
      <c r="B83" s="7"/>
      <c r="C83" s="28" t="s">
        <v>12</v>
      </c>
      <c r="D83" s="27">
        <v>1</v>
      </c>
      <c r="E83" s="27">
        <v>2</v>
      </c>
      <c r="F83" s="27">
        <v>3</v>
      </c>
      <c r="G83" s="27">
        <v>4</v>
      </c>
      <c r="H83" s="27">
        <v>5</v>
      </c>
      <c r="I83" s="27">
        <v>6</v>
      </c>
      <c r="J83" s="27">
        <v>7</v>
      </c>
      <c r="K83" s="27">
        <v>8</v>
      </c>
      <c r="L83" s="27">
        <v>9</v>
      </c>
      <c r="M83" s="27">
        <v>10</v>
      </c>
      <c r="N83" s="27">
        <v>11</v>
      </c>
      <c r="O83" s="27">
        <v>12</v>
      </c>
      <c r="P83" s="27" t="s">
        <v>67</v>
      </c>
      <c r="Q83" s="8"/>
      <c r="T83" s="118"/>
      <c r="U83" s="163" t="s">
        <v>76</v>
      </c>
      <c r="V83" s="168">
        <f t="shared" ref="V83:AC83" si="19">+D71+D72</f>
        <v>166</v>
      </c>
      <c r="W83" s="168">
        <f t="shared" si="19"/>
        <v>171</v>
      </c>
      <c r="X83" s="168">
        <f t="shared" si="19"/>
        <v>184</v>
      </c>
      <c r="Y83" s="168">
        <f t="shared" si="19"/>
        <v>158</v>
      </c>
      <c r="Z83" s="168">
        <f t="shared" si="19"/>
        <v>164</v>
      </c>
      <c r="AA83" s="168">
        <f t="shared" si="19"/>
        <v>157</v>
      </c>
      <c r="AB83" s="168">
        <f t="shared" si="19"/>
        <v>0</v>
      </c>
      <c r="AC83" s="168">
        <f t="shared" si="19"/>
        <v>0</v>
      </c>
      <c r="AD83" s="168">
        <f t="shared" ref="AD83:AG83" si="20">+L71+L72</f>
        <v>0</v>
      </c>
      <c r="AE83" s="168">
        <f t="shared" si="20"/>
        <v>0</v>
      </c>
      <c r="AF83" s="168">
        <f t="shared" si="20"/>
        <v>0</v>
      </c>
      <c r="AG83" s="168">
        <f t="shared" si="20"/>
        <v>0</v>
      </c>
      <c r="AH83" s="110"/>
      <c r="AI83" s="119"/>
    </row>
    <row r="84" spans="2:35" x14ac:dyDescent="0.25">
      <c r="B84" s="7"/>
      <c r="C84" s="28" t="s">
        <v>13</v>
      </c>
      <c r="D84" s="69">
        <f>+D77*D71</f>
        <v>10.559999999999999</v>
      </c>
      <c r="E84" s="69">
        <f t="shared" ref="E84:O86" si="21">+E77*E71</f>
        <v>11.639999999999999</v>
      </c>
      <c r="F84" s="69">
        <f t="shared" si="21"/>
        <v>10.32</v>
      </c>
      <c r="G84" s="69">
        <f t="shared" si="21"/>
        <v>10.559999999999999</v>
      </c>
      <c r="H84" s="69">
        <f t="shared" si="21"/>
        <v>7.8</v>
      </c>
      <c r="I84" s="69">
        <f t="shared" si="21"/>
        <v>9.1199999999999992</v>
      </c>
      <c r="J84" s="69">
        <f t="shared" si="21"/>
        <v>0</v>
      </c>
      <c r="K84" s="69">
        <f t="shared" si="21"/>
        <v>0</v>
      </c>
      <c r="L84" s="69">
        <f t="shared" si="21"/>
        <v>0</v>
      </c>
      <c r="M84" s="69">
        <f t="shared" si="21"/>
        <v>0</v>
      </c>
      <c r="N84" s="69">
        <f t="shared" si="21"/>
        <v>0</v>
      </c>
      <c r="O84" s="69">
        <f t="shared" si="21"/>
        <v>0</v>
      </c>
      <c r="P84" s="69">
        <f>SUM(D84:O84)</f>
        <v>59.999999999999993</v>
      </c>
      <c r="Q84" s="8"/>
      <c r="T84" s="118"/>
      <c r="U84" s="163" t="s">
        <v>25</v>
      </c>
      <c r="V84" s="168">
        <f t="shared" ref="V84:AC84" si="22">+D47</f>
        <v>14.94</v>
      </c>
      <c r="W84" s="168">
        <f t="shared" si="22"/>
        <v>15.389999999999999</v>
      </c>
      <c r="X84" s="168">
        <f t="shared" si="22"/>
        <v>16.559999999999999</v>
      </c>
      <c r="Y84" s="168">
        <f t="shared" si="22"/>
        <v>14.219999999999999</v>
      </c>
      <c r="Z84" s="168">
        <f t="shared" si="22"/>
        <v>14.76</v>
      </c>
      <c r="AA84" s="168">
        <f t="shared" si="22"/>
        <v>14.129999999999999</v>
      </c>
      <c r="AB84" s="168">
        <f t="shared" si="22"/>
        <v>0</v>
      </c>
      <c r="AC84" s="168">
        <f t="shared" si="22"/>
        <v>0</v>
      </c>
      <c r="AD84" s="168">
        <f t="shared" ref="AD84:AG84" si="23">+L47</f>
        <v>0</v>
      </c>
      <c r="AE84" s="168">
        <f t="shared" si="23"/>
        <v>0</v>
      </c>
      <c r="AF84" s="168">
        <f t="shared" si="23"/>
        <v>0</v>
      </c>
      <c r="AG84" s="168">
        <f t="shared" si="23"/>
        <v>0</v>
      </c>
      <c r="AH84" s="110"/>
      <c r="AI84" s="119"/>
    </row>
    <row r="85" spans="2:35" x14ac:dyDescent="0.25">
      <c r="B85" s="7"/>
      <c r="C85" s="28" t="s">
        <v>5</v>
      </c>
      <c r="D85" s="69">
        <f>+D78*D72</f>
        <v>9.36</v>
      </c>
      <c r="E85" s="69">
        <f t="shared" si="21"/>
        <v>8.879999999999999</v>
      </c>
      <c r="F85" s="69">
        <f t="shared" si="21"/>
        <v>11.76</v>
      </c>
      <c r="G85" s="69">
        <f t="shared" si="21"/>
        <v>8.4</v>
      </c>
      <c r="H85" s="69">
        <f t="shared" si="21"/>
        <v>11.879999999999999</v>
      </c>
      <c r="I85" s="69">
        <f t="shared" si="21"/>
        <v>9.7199999999999989</v>
      </c>
      <c r="J85" s="69">
        <f t="shared" si="21"/>
        <v>0</v>
      </c>
      <c r="K85" s="69">
        <f>+K78*K72</f>
        <v>0</v>
      </c>
      <c r="L85" s="69">
        <f t="shared" si="21"/>
        <v>0</v>
      </c>
      <c r="M85" s="69">
        <f t="shared" si="21"/>
        <v>0</v>
      </c>
      <c r="N85" s="69">
        <f t="shared" si="21"/>
        <v>0</v>
      </c>
      <c r="O85" s="69">
        <f t="shared" si="21"/>
        <v>0</v>
      </c>
      <c r="P85" s="69">
        <f t="shared" ref="P85:P86" si="24">SUM(D85:O85)</f>
        <v>60</v>
      </c>
      <c r="Q85" s="70"/>
      <c r="S85"/>
      <c r="T85" s="118"/>
      <c r="U85" s="109" t="s">
        <v>77</v>
      </c>
      <c r="V85" s="169">
        <f>+V83/$AA$69*2</f>
        <v>13.833333333333334</v>
      </c>
      <c r="W85" s="169">
        <f t="shared" ref="W85:AG85" si="25">+W83/$AA$69*2</f>
        <v>14.25</v>
      </c>
      <c r="X85" s="169">
        <f t="shared" si="25"/>
        <v>15.333333333333334</v>
      </c>
      <c r="Y85" s="169">
        <f t="shared" si="25"/>
        <v>13.166666666666666</v>
      </c>
      <c r="Z85" s="169">
        <f t="shared" si="25"/>
        <v>13.666666666666666</v>
      </c>
      <c r="AA85" s="169">
        <f t="shared" si="25"/>
        <v>13.083333333333334</v>
      </c>
      <c r="AB85" s="169">
        <f t="shared" si="25"/>
        <v>0</v>
      </c>
      <c r="AC85" s="169">
        <f t="shared" si="25"/>
        <v>0</v>
      </c>
      <c r="AD85" s="169">
        <f t="shared" si="25"/>
        <v>0</v>
      </c>
      <c r="AE85" s="169">
        <f t="shared" si="25"/>
        <v>0</v>
      </c>
      <c r="AF85" s="169">
        <f t="shared" si="25"/>
        <v>0</v>
      </c>
      <c r="AG85" s="169">
        <f t="shared" si="25"/>
        <v>0</v>
      </c>
      <c r="AH85" s="110"/>
      <c r="AI85" s="119"/>
    </row>
    <row r="86" spans="2:35" x14ac:dyDescent="0.25">
      <c r="B86" s="7"/>
      <c r="C86" s="28" t="s">
        <v>16</v>
      </c>
      <c r="D86" s="69">
        <f>+D79*D73</f>
        <v>2.2559999999999998</v>
      </c>
      <c r="E86" s="69">
        <f t="shared" si="21"/>
        <v>5.16</v>
      </c>
      <c r="F86" s="69">
        <f t="shared" si="21"/>
        <v>6.4799999999999995</v>
      </c>
      <c r="G86" s="69">
        <f t="shared" si="21"/>
        <v>7.1999999999999993</v>
      </c>
      <c r="H86" s="69">
        <f t="shared" si="21"/>
        <v>5.2799999999999994</v>
      </c>
      <c r="I86" s="69">
        <f t="shared" si="21"/>
        <v>0.6</v>
      </c>
      <c r="J86" s="69">
        <f>+J79*J73</f>
        <v>0</v>
      </c>
      <c r="K86" s="69">
        <f t="shared" si="21"/>
        <v>0</v>
      </c>
      <c r="L86" s="69">
        <f t="shared" si="21"/>
        <v>0</v>
      </c>
      <c r="M86" s="69">
        <f t="shared" si="21"/>
        <v>0</v>
      </c>
      <c r="N86" s="69">
        <f t="shared" si="21"/>
        <v>0</v>
      </c>
      <c r="O86" s="69">
        <f t="shared" si="21"/>
        <v>0</v>
      </c>
      <c r="P86" s="69">
        <f t="shared" si="24"/>
        <v>26.975999999999999</v>
      </c>
      <c r="Q86" s="8"/>
      <c r="S86" s="71"/>
      <c r="T86" s="118"/>
      <c r="U86" s="109" t="s">
        <v>78</v>
      </c>
      <c r="V86" s="170">
        <f>+V84/$AA$69</f>
        <v>0.62249999999999994</v>
      </c>
      <c r="W86" s="170">
        <f t="shared" ref="W86:AG86" si="26">+W84/$AA$69</f>
        <v>0.64124999999999999</v>
      </c>
      <c r="X86" s="170">
        <f t="shared" si="26"/>
        <v>0.69</v>
      </c>
      <c r="Y86" s="170">
        <f t="shared" si="26"/>
        <v>0.59249999999999992</v>
      </c>
      <c r="Z86" s="170">
        <f t="shared" si="26"/>
        <v>0.61499999999999999</v>
      </c>
      <c r="AA86" s="170">
        <f t="shared" si="26"/>
        <v>0.58875</v>
      </c>
      <c r="AB86" s="170">
        <f t="shared" si="26"/>
        <v>0</v>
      </c>
      <c r="AC86" s="170">
        <f t="shared" si="26"/>
        <v>0</v>
      </c>
      <c r="AD86" s="170">
        <f t="shared" si="26"/>
        <v>0</v>
      </c>
      <c r="AE86" s="170">
        <f t="shared" si="26"/>
        <v>0</v>
      </c>
      <c r="AF86" s="170">
        <f t="shared" si="26"/>
        <v>0</v>
      </c>
      <c r="AG86" s="170">
        <f t="shared" si="26"/>
        <v>0</v>
      </c>
      <c r="AH86" s="110"/>
      <c r="AI86" s="119"/>
    </row>
    <row r="87" spans="2:35" x14ac:dyDescent="0.25">
      <c r="B87" s="7"/>
      <c r="C87"/>
      <c r="D87" s="72">
        <f>+D86+D85+D84</f>
        <v>22.175999999999998</v>
      </c>
      <c r="E87" s="72">
        <f t="shared" ref="E87:O87" si="27">+E86+E85+E84</f>
        <v>25.68</v>
      </c>
      <c r="F87" s="72">
        <f t="shared" si="27"/>
        <v>28.56</v>
      </c>
      <c r="G87" s="72">
        <f t="shared" si="27"/>
        <v>26.159999999999997</v>
      </c>
      <c r="H87" s="72">
        <f t="shared" si="27"/>
        <v>24.959999999999997</v>
      </c>
      <c r="I87" s="72">
        <f t="shared" si="27"/>
        <v>19.439999999999998</v>
      </c>
      <c r="J87" s="72">
        <f t="shared" si="27"/>
        <v>0</v>
      </c>
      <c r="K87" s="72">
        <f t="shared" si="27"/>
        <v>0</v>
      </c>
      <c r="L87" s="72">
        <f t="shared" si="27"/>
        <v>0</v>
      </c>
      <c r="M87" s="72">
        <f t="shared" si="27"/>
        <v>0</v>
      </c>
      <c r="N87" s="72">
        <f t="shared" si="27"/>
        <v>0</v>
      </c>
      <c r="O87" s="72">
        <f t="shared" si="27"/>
        <v>0</v>
      </c>
      <c r="P87" s="89">
        <f>+P86+P85+P84</f>
        <v>146.976</v>
      </c>
      <c r="Q87" s="8"/>
      <c r="S87" s="71"/>
      <c r="T87" s="118"/>
      <c r="U87" s="109" t="s">
        <v>142</v>
      </c>
      <c r="V87" s="169">
        <v>2</v>
      </c>
      <c r="W87" s="169">
        <v>2</v>
      </c>
      <c r="X87" s="169">
        <v>2</v>
      </c>
      <c r="Y87" s="169">
        <v>2</v>
      </c>
      <c r="Z87" s="169">
        <v>2</v>
      </c>
      <c r="AA87" s="169">
        <f t="shared" ref="AA87" si="28">+IF(AA86&gt;7,4,IF(AA86&gt;5,3,IF(AA86&gt;1,2,IF(AA86&gt;0,1,0))))</f>
        <v>1</v>
      </c>
      <c r="AB87" s="169">
        <f t="shared" ref="AB87" si="29">+IF(AB86&gt;7,4,IF(AB86&gt;5,3,IF(AB86&gt;1,2,IF(AB86&gt;0,1,0))))</f>
        <v>0</v>
      </c>
      <c r="AC87" s="169">
        <f t="shared" ref="AC87" si="30">+IF(AC86&gt;7,4,IF(AC86&gt;5,3,IF(AC86&gt;1,2,IF(AC86&gt;0,1,0))))</f>
        <v>0</v>
      </c>
      <c r="AD87" s="169">
        <f t="shared" ref="AD87" si="31">+IF(AD86&gt;7,4,IF(AD86&gt;5,3,IF(AD86&gt;1,2,IF(AD86&gt;0,1,0))))</f>
        <v>0</v>
      </c>
      <c r="AE87" s="169">
        <f t="shared" ref="AE87" si="32">+IF(AE86&gt;7,4,IF(AE86&gt;5,3,IF(AE86&gt;1,2,IF(AE86&gt;0,1,0))))</f>
        <v>0</v>
      </c>
      <c r="AF87" s="169">
        <f t="shared" ref="AF87" si="33">+IF(AF86&gt;7,4,IF(AF86&gt;5,3,IF(AF86&gt;1,2,IF(AF86&gt;0,1,0))))</f>
        <v>0</v>
      </c>
      <c r="AG87" s="169">
        <f t="shared" ref="AG87" si="34">+IF(AG86&gt;7,4,IF(AG86&gt;5,3,IF(AG86&gt;1,2,IF(AG86&gt;0,1,0))))</f>
        <v>0</v>
      </c>
      <c r="AH87" s="110"/>
      <c r="AI87" s="119"/>
    </row>
    <row r="88" spans="2:35" ht="15.75" thickBot="1" x14ac:dyDescent="0.3">
      <c r="B88" s="7"/>
      <c r="D88" s="90">
        <f>+D87/D73</f>
        <v>2.3591489361702127</v>
      </c>
      <c r="E88" s="90">
        <f t="shared" ref="E88:K88" si="35">+E87/E73</f>
        <v>1.1944186046511627</v>
      </c>
      <c r="F88" s="90">
        <f t="shared" si="35"/>
        <v>1.0577777777777777</v>
      </c>
      <c r="G88" s="90">
        <f t="shared" si="35"/>
        <v>0.87199999999999989</v>
      </c>
      <c r="H88" s="90">
        <f t="shared" si="35"/>
        <v>1.1345454545454545</v>
      </c>
      <c r="I88" s="90">
        <f t="shared" si="35"/>
        <v>7.7759999999999989</v>
      </c>
      <c r="J88" s="90" t="e">
        <f t="shared" si="35"/>
        <v>#DIV/0!</v>
      </c>
      <c r="K88" s="90" t="e">
        <f t="shared" si="35"/>
        <v>#DIV/0!</v>
      </c>
      <c r="Q88" s="8"/>
      <c r="T88" s="118"/>
      <c r="U88" s="109" t="s">
        <v>79</v>
      </c>
      <c r="V88" s="126">
        <f>+(V87*$W$68/(40*4))*V85</f>
        <v>146979.16666666669</v>
      </c>
      <c r="W88" s="126">
        <f t="shared" ref="W88:Z88" si="36">+(W87*$W$68/(40*4))*W85</f>
        <v>151406.25</v>
      </c>
      <c r="X88" s="126">
        <f t="shared" si="36"/>
        <v>162916.66666666669</v>
      </c>
      <c r="Y88" s="126">
        <f t="shared" si="36"/>
        <v>139895.83333333331</v>
      </c>
      <c r="Z88" s="126">
        <f t="shared" si="36"/>
        <v>145208.33333333331</v>
      </c>
      <c r="AA88" s="126">
        <f t="shared" ref="AA88:AG88" si="37">+AA87*$W$68</f>
        <v>850000</v>
      </c>
      <c r="AB88" s="126">
        <f t="shared" si="37"/>
        <v>0</v>
      </c>
      <c r="AC88" s="126">
        <f t="shared" si="37"/>
        <v>0</v>
      </c>
      <c r="AD88" s="126">
        <f t="shared" si="37"/>
        <v>0</v>
      </c>
      <c r="AE88" s="126">
        <f t="shared" si="37"/>
        <v>0</v>
      </c>
      <c r="AF88" s="126">
        <f t="shared" si="37"/>
        <v>0</v>
      </c>
      <c r="AG88" s="126">
        <f t="shared" si="37"/>
        <v>0</v>
      </c>
      <c r="AH88" s="110"/>
      <c r="AI88" s="119"/>
    </row>
    <row r="89" spans="2:35" x14ac:dyDescent="0.25">
      <c r="B89" s="7"/>
      <c r="C89" s="121"/>
      <c r="D89" s="116"/>
      <c r="E89" s="116"/>
      <c r="F89" s="116"/>
      <c r="G89" s="134" t="str">
        <f>+L53</f>
        <v>pallets alm prom</v>
      </c>
      <c r="H89" s="135" t="s">
        <v>119</v>
      </c>
      <c r="I89" s="116"/>
      <c r="J89" s="116"/>
      <c r="K89" s="116"/>
      <c r="L89" s="117"/>
      <c r="M89" s="5"/>
      <c r="N89" s="5"/>
      <c r="O89" s="5"/>
      <c r="P89" s="5"/>
      <c r="Q89" s="6"/>
      <c r="T89" s="118"/>
      <c r="U89" s="109" t="s">
        <v>80</v>
      </c>
      <c r="V89" s="126">
        <v>0</v>
      </c>
      <c r="W89" s="126">
        <v>0</v>
      </c>
      <c r="X89" s="126">
        <v>0</v>
      </c>
      <c r="Y89" s="126">
        <v>0</v>
      </c>
      <c r="Z89" s="126">
        <v>0</v>
      </c>
      <c r="AA89" s="126">
        <v>0</v>
      </c>
      <c r="AB89" s="126">
        <f>SUM(V89:AA89)</f>
        <v>0</v>
      </c>
      <c r="AC89" s="126">
        <f>SUM(W89:AB89)</f>
        <v>0</v>
      </c>
      <c r="AD89" s="126">
        <f t="shared" ref="AD89:AG89" si="38">SUM(X89:AC89)</f>
        <v>0</v>
      </c>
      <c r="AE89" s="126">
        <f t="shared" si="38"/>
        <v>0</v>
      </c>
      <c r="AF89" s="126">
        <f t="shared" si="38"/>
        <v>0</v>
      </c>
      <c r="AG89" s="126">
        <f t="shared" si="38"/>
        <v>0</v>
      </c>
      <c r="AH89" s="110"/>
      <c r="AI89" s="119"/>
    </row>
    <row r="90" spans="2:35" ht="15.75" thickBot="1" x14ac:dyDescent="0.3">
      <c r="B90" s="7"/>
      <c r="C90" s="118"/>
      <c r="D90" s="109"/>
      <c r="E90" s="110"/>
      <c r="F90" s="110"/>
      <c r="G90" s="136">
        <f>+I94/5</f>
        <v>22.48</v>
      </c>
      <c r="H90" s="137">
        <f>+M54</f>
        <v>6</v>
      </c>
      <c r="I90" s="110"/>
      <c r="J90" s="110"/>
      <c r="K90" s="110"/>
      <c r="L90" s="119"/>
      <c r="Q90" s="8"/>
      <c r="T90" s="118"/>
      <c r="U90" s="171" t="s">
        <v>81</v>
      </c>
      <c r="V90" s="172">
        <f t="shared" ref="V90:AC90" si="39">+IF(D73&gt;0,$W$69*$X$69,0)</f>
        <v>375000</v>
      </c>
      <c r="W90" s="172">
        <f t="shared" si="39"/>
        <v>375000</v>
      </c>
      <c r="X90" s="172">
        <f t="shared" si="39"/>
        <v>375000</v>
      </c>
      <c r="Y90" s="172">
        <f t="shared" si="39"/>
        <v>375000</v>
      </c>
      <c r="Z90" s="172">
        <f t="shared" si="39"/>
        <v>375000</v>
      </c>
      <c r="AA90" s="172">
        <f t="shared" si="39"/>
        <v>375000</v>
      </c>
      <c r="AB90" s="172">
        <f t="shared" si="39"/>
        <v>0</v>
      </c>
      <c r="AC90" s="172">
        <f t="shared" si="39"/>
        <v>0</v>
      </c>
      <c r="AD90" s="172">
        <f t="shared" ref="AD90:AG90" si="40">+IF(L73&gt;0,$W$69*$X$69,0)</f>
        <v>0</v>
      </c>
      <c r="AE90" s="172">
        <f t="shared" si="40"/>
        <v>0</v>
      </c>
      <c r="AF90" s="172">
        <f t="shared" si="40"/>
        <v>0</v>
      </c>
      <c r="AG90" s="172">
        <f t="shared" si="40"/>
        <v>0</v>
      </c>
      <c r="AH90" s="110"/>
      <c r="AI90" s="119"/>
    </row>
    <row r="91" spans="2:35" ht="15.75" thickBot="1" x14ac:dyDescent="0.3">
      <c r="B91" s="7"/>
      <c r="C91" s="118"/>
      <c r="D91" s="110"/>
      <c r="E91" s="110"/>
      <c r="F91" s="110"/>
      <c r="G91" s="110"/>
      <c r="H91" s="110"/>
      <c r="I91" s="110"/>
      <c r="J91" s="110"/>
      <c r="K91" s="110"/>
      <c r="L91" s="119"/>
      <c r="Q91" s="8"/>
      <c r="T91" s="118"/>
      <c r="U91" s="109" t="s">
        <v>82</v>
      </c>
      <c r="V91" s="126">
        <f>SUM(V88:V90)</f>
        <v>521979.16666666669</v>
      </c>
      <c r="W91" s="126">
        <f t="shared" ref="W91:AG91" si="41">SUM(W88:W90)</f>
        <v>526406.25</v>
      </c>
      <c r="X91" s="126">
        <f t="shared" si="41"/>
        <v>537916.66666666674</v>
      </c>
      <c r="Y91" s="126">
        <f t="shared" si="41"/>
        <v>514895.83333333331</v>
      </c>
      <c r="Z91" s="126">
        <f t="shared" si="41"/>
        <v>520208.33333333331</v>
      </c>
      <c r="AA91" s="126">
        <f t="shared" si="41"/>
        <v>1225000</v>
      </c>
      <c r="AB91" s="126">
        <f t="shared" si="41"/>
        <v>0</v>
      </c>
      <c r="AC91" s="126">
        <f t="shared" si="41"/>
        <v>0</v>
      </c>
      <c r="AD91" s="126">
        <f t="shared" si="41"/>
        <v>0</v>
      </c>
      <c r="AE91" s="126">
        <f t="shared" si="41"/>
        <v>0</v>
      </c>
      <c r="AF91" s="126">
        <f t="shared" si="41"/>
        <v>0</v>
      </c>
      <c r="AG91" s="126">
        <f t="shared" si="41"/>
        <v>0</v>
      </c>
      <c r="AH91" s="126">
        <f>SUM(V91:AG91)</f>
        <v>3846406.2500000005</v>
      </c>
      <c r="AI91" s="173">
        <f>+AH91/$W$57</f>
        <v>97.024645844474279</v>
      </c>
    </row>
    <row r="92" spans="2:35" ht="15.75" thickBot="1" x14ac:dyDescent="0.3">
      <c r="B92" s="7"/>
      <c r="C92" s="157" t="s">
        <v>85</v>
      </c>
      <c r="D92" s="156" t="s">
        <v>140</v>
      </c>
      <c r="E92" s="116" t="s">
        <v>139</v>
      </c>
      <c r="F92" s="115" t="s">
        <v>37</v>
      </c>
      <c r="G92" s="115" t="s">
        <v>84</v>
      </c>
      <c r="H92" s="138" t="s">
        <v>83</v>
      </c>
      <c r="I92" s="112" t="s">
        <v>118</v>
      </c>
      <c r="J92" s="139" t="s">
        <v>130</v>
      </c>
      <c r="K92" s="111" t="s">
        <v>37</v>
      </c>
      <c r="L92" s="112" t="s">
        <v>84</v>
      </c>
      <c r="O92"/>
      <c r="Q92" s="8"/>
      <c r="T92" s="118"/>
      <c r="U92" s="110" t="s">
        <v>117</v>
      </c>
      <c r="V92" s="174">
        <v>0</v>
      </c>
      <c r="W92" s="174">
        <v>0</v>
      </c>
      <c r="X92" s="174">
        <v>0</v>
      </c>
      <c r="Y92" s="174">
        <v>0</v>
      </c>
      <c r="Z92" s="174">
        <v>0</v>
      </c>
      <c r="AA92" s="174">
        <f t="shared" ref="AA92:AG92" si="42">IF(AA$83&gt;0,$W$77,0)</f>
        <v>99599.999999999985</v>
      </c>
      <c r="AB92" s="174">
        <f t="shared" si="42"/>
        <v>0</v>
      </c>
      <c r="AC92" s="174">
        <f t="shared" si="42"/>
        <v>0</v>
      </c>
      <c r="AD92" s="174">
        <f t="shared" si="42"/>
        <v>0</v>
      </c>
      <c r="AE92" s="174">
        <f t="shared" si="42"/>
        <v>0</v>
      </c>
      <c r="AF92" s="174">
        <f t="shared" si="42"/>
        <v>0</v>
      </c>
      <c r="AG92" s="174">
        <f t="shared" si="42"/>
        <v>0</v>
      </c>
      <c r="AH92" s="110"/>
      <c r="AI92" s="175">
        <f>+AI91/$AI$101</f>
        <v>0.34076072253553141</v>
      </c>
    </row>
    <row r="93" spans="2:35" x14ac:dyDescent="0.25">
      <c r="B93" s="7"/>
      <c r="C93" s="122" t="s">
        <v>129</v>
      </c>
      <c r="D93" s="159">
        <f>+P71+P72</f>
        <v>1000</v>
      </c>
      <c r="E93" s="140"/>
      <c r="F93" s="141">
        <f>+G93/$W$57</f>
        <v>149.9455460654431</v>
      </c>
      <c r="G93" s="179">
        <f>+AH96+AH91</f>
        <v>5944381.25</v>
      </c>
      <c r="H93" s="122" t="s">
        <v>76</v>
      </c>
      <c r="I93" s="142">
        <f>+P71+P72</f>
        <v>1000</v>
      </c>
      <c r="J93" s="143">
        <f>+D77</f>
        <v>0.12</v>
      </c>
      <c r="K93" s="144">
        <f>+P84+P85</f>
        <v>120</v>
      </c>
      <c r="L93" s="145">
        <f>+K93*$W$57</f>
        <v>4757232</v>
      </c>
      <c r="O93" s="76"/>
      <c r="Q93" s="8"/>
      <c r="T93" s="118"/>
      <c r="U93" s="109" t="s">
        <v>86</v>
      </c>
      <c r="V93" s="174">
        <f>IF(V83&gt;300,$X$62,V83/$AD$61*$W$62)</f>
        <v>186750</v>
      </c>
      <c r="W93" s="174">
        <f>IF(W83&gt;400,$X$62,W83/$AD$61*$W$62)</f>
        <v>192375</v>
      </c>
      <c r="X93" s="174">
        <f t="shared" ref="X93" si="43">IF(X83&gt;200,$X$62,X83/$AD$61*$W$62)</f>
        <v>207000</v>
      </c>
      <c r="Y93" s="174">
        <f>IF(Y83&gt;200,$X$62,Y83/$AD$61*$W$62)</f>
        <v>177750</v>
      </c>
      <c r="Z93" s="174">
        <f>IF(Z83&gt;200,$X$62,Z83/$AD$61*$W$62)</f>
        <v>184500</v>
      </c>
      <c r="AA93" s="174">
        <f t="shared" ref="AA93:AC93" si="44">IF(AA83&gt;0,$X$62,0)</f>
        <v>810000</v>
      </c>
      <c r="AB93" s="174">
        <f t="shared" si="44"/>
        <v>0</v>
      </c>
      <c r="AC93" s="174">
        <f t="shared" si="44"/>
        <v>0</v>
      </c>
      <c r="AD93" s="174">
        <f t="shared" ref="AD93:AG93" si="45">IF(AD83&gt;0,$X$62,0)</f>
        <v>0</v>
      </c>
      <c r="AE93" s="174">
        <f t="shared" si="45"/>
        <v>0</v>
      </c>
      <c r="AF93" s="174">
        <f t="shared" si="45"/>
        <v>0</v>
      </c>
      <c r="AG93" s="174">
        <f t="shared" si="45"/>
        <v>0</v>
      </c>
      <c r="AH93" s="126"/>
      <c r="AI93" s="173"/>
    </row>
    <row r="94" spans="2:35" ht="15.75" thickBot="1" x14ac:dyDescent="0.3">
      <c r="B94" s="7"/>
      <c r="C94" s="146" t="s">
        <v>137</v>
      </c>
      <c r="D94" s="160">
        <f>+Y58</f>
        <v>70.2</v>
      </c>
      <c r="E94" s="128">
        <f>+Y47</f>
        <v>0.32</v>
      </c>
      <c r="F94" s="148">
        <f>+E94*D94*H90</f>
        <v>134.78400000000002</v>
      </c>
      <c r="G94" s="180">
        <f>+AH98</f>
        <v>5343322.982400001</v>
      </c>
      <c r="H94" s="183" t="s">
        <v>138</v>
      </c>
      <c r="I94" s="149">
        <f>+P73</f>
        <v>112.4</v>
      </c>
      <c r="J94" s="150">
        <f>+D79</f>
        <v>0.24</v>
      </c>
      <c r="K94" s="151">
        <f>+P86</f>
        <v>26.975999999999999</v>
      </c>
      <c r="L94" s="152">
        <f>+K94*$W$57</f>
        <v>1069425.7535999999</v>
      </c>
      <c r="O94" s="76"/>
      <c r="Q94" s="8"/>
      <c r="T94" s="118"/>
      <c r="U94" s="109" t="s">
        <v>87</v>
      </c>
      <c r="V94" s="174">
        <v>0</v>
      </c>
      <c r="W94" s="174">
        <v>0</v>
      </c>
      <c r="X94" s="174">
        <v>0</v>
      </c>
      <c r="Y94" s="174">
        <v>0</v>
      </c>
      <c r="Z94" s="174">
        <v>0</v>
      </c>
      <c r="AA94" s="174">
        <v>0</v>
      </c>
      <c r="AB94" s="126">
        <f>SUM(V94:AA94)</f>
        <v>0</v>
      </c>
      <c r="AC94" s="126">
        <f>SUM(W94:AB94)</f>
        <v>0</v>
      </c>
      <c r="AD94" s="126">
        <f t="shared" ref="AD94:AG94" si="46">SUM(X94:AC94)</f>
        <v>0</v>
      </c>
      <c r="AE94" s="126">
        <f t="shared" si="46"/>
        <v>0</v>
      </c>
      <c r="AF94" s="126">
        <f t="shared" si="46"/>
        <v>0</v>
      </c>
      <c r="AG94" s="126">
        <f t="shared" si="46"/>
        <v>0</v>
      </c>
      <c r="AH94" s="110"/>
      <c r="AI94" s="173"/>
    </row>
    <row r="95" spans="2:35" ht="15.75" thickBot="1" x14ac:dyDescent="0.3">
      <c r="B95" s="7"/>
      <c r="C95" s="146" t="s">
        <v>88</v>
      </c>
      <c r="D95" s="128"/>
      <c r="E95" s="147"/>
      <c r="F95" s="158">
        <f>+F94+F93</f>
        <v>284.72954606544312</v>
      </c>
      <c r="G95" s="181">
        <f>+G94+G93</f>
        <v>11287704.2324</v>
      </c>
      <c r="H95" s="153" t="s">
        <v>67</v>
      </c>
      <c r="I95" s="124"/>
      <c r="J95" s="124"/>
      <c r="K95" s="154">
        <f>+K94+K93</f>
        <v>146.976</v>
      </c>
      <c r="L95" s="155">
        <f>SUM(L93:L94)</f>
        <v>5826657.7535999995</v>
      </c>
      <c r="O95" s="76"/>
      <c r="Q95" s="8"/>
      <c r="T95" s="118"/>
      <c r="U95" s="109" t="s">
        <v>89</v>
      </c>
      <c r="V95" s="172">
        <f t="shared" ref="V95:AC95" si="47">+IF(D73&gt;0,$W$76,0)</f>
        <v>40000</v>
      </c>
      <c r="W95" s="172">
        <f t="shared" si="47"/>
        <v>40000</v>
      </c>
      <c r="X95" s="172">
        <f t="shared" si="47"/>
        <v>40000</v>
      </c>
      <c r="Y95" s="172">
        <f t="shared" si="47"/>
        <v>40000</v>
      </c>
      <c r="Z95" s="172">
        <f t="shared" si="47"/>
        <v>40000</v>
      </c>
      <c r="AA95" s="172">
        <f t="shared" si="47"/>
        <v>40000</v>
      </c>
      <c r="AB95" s="172">
        <f t="shared" si="47"/>
        <v>0</v>
      </c>
      <c r="AC95" s="172">
        <f t="shared" si="47"/>
        <v>0</v>
      </c>
      <c r="AD95" s="172">
        <f t="shared" ref="AD95:AG95" si="48">+IF(L73&gt;0,$W$76,0)</f>
        <v>0</v>
      </c>
      <c r="AE95" s="172">
        <f t="shared" si="48"/>
        <v>0</v>
      </c>
      <c r="AF95" s="172">
        <f t="shared" si="48"/>
        <v>0</v>
      </c>
      <c r="AG95" s="172">
        <f t="shared" si="48"/>
        <v>0</v>
      </c>
      <c r="AH95" s="110"/>
      <c r="AI95" s="173"/>
    </row>
    <row r="96" spans="2:35" ht="15.75" thickBot="1" x14ac:dyDescent="0.3">
      <c r="B96" s="118"/>
      <c r="C96" s="118"/>
      <c r="D96" s="110"/>
      <c r="E96" s="110"/>
      <c r="F96" s="110"/>
      <c r="G96" s="110"/>
      <c r="H96" s="118"/>
      <c r="I96" s="110"/>
      <c r="J96" s="126"/>
      <c r="K96" s="126"/>
      <c r="L96" s="119"/>
      <c r="M96" s="110"/>
      <c r="N96" s="110"/>
      <c r="Q96" s="8"/>
      <c r="T96" s="118"/>
      <c r="U96" s="110"/>
      <c r="V96" s="126">
        <f>SUM(V92:V95)</f>
        <v>226750</v>
      </c>
      <c r="W96" s="126">
        <f t="shared" ref="W96:AG96" si="49">SUM(W92:W95)</f>
        <v>232375</v>
      </c>
      <c r="X96" s="126">
        <f t="shared" si="49"/>
        <v>247000</v>
      </c>
      <c r="Y96" s="126">
        <f t="shared" si="49"/>
        <v>217750</v>
      </c>
      <c r="Z96" s="126">
        <f>SUM(Z92:Z95)</f>
        <v>224500</v>
      </c>
      <c r="AA96" s="126">
        <f t="shared" si="49"/>
        <v>949600</v>
      </c>
      <c r="AB96" s="126">
        <f t="shared" si="49"/>
        <v>0</v>
      </c>
      <c r="AC96" s="126">
        <f t="shared" si="49"/>
        <v>0</v>
      </c>
      <c r="AD96" s="126">
        <f t="shared" si="49"/>
        <v>0</v>
      </c>
      <c r="AE96" s="126">
        <f t="shared" si="49"/>
        <v>0</v>
      </c>
      <c r="AF96" s="126">
        <f t="shared" si="49"/>
        <v>0</v>
      </c>
      <c r="AG96" s="126">
        <f t="shared" si="49"/>
        <v>0</v>
      </c>
      <c r="AH96" s="126">
        <f>SUM(V96:AG96)</f>
        <v>2097975</v>
      </c>
      <c r="AI96" s="173">
        <f>+AH96/$W$57</f>
        <v>52.920900220968832</v>
      </c>
    </row>
    <row r="97" spans="2:35" ht="15.75" thickBot="1" x14ac:dyDescent="0.3">
      <c r="B97" s="118"/>
      <c r="C97" s="118"/>
      <c r="D97" s="110"/>
      <c r="E97" s="130"/>
      <c r="F97" s="124"/>
      <c r="G97" s="131">
        <f>+G95</f>
        <v>11287704.2324</v>
      </c>
      <c r="H97" s="111" t="s">
        <v>67</v>
      </c>
      <c r="I97" s="124"/>
      <c r="J97" s="125">
        <f>+K96+L95</f>
        <v>5826657.7535999995</v>
      </c>
      <c r="K97" s="123"/>
      <c r="L97" s="119"/>
      <c r="M97" s="110"/>
      <c r="N97" s="110"/>
      <c r="O97" s="77"/>
      <c r="Q97" s="8"/>
      <c r="T97" s="118"/>
      <c r="U97" s="109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10"/>
      <c r="AI97" s="175">
        <f>+AI96/$AI$101</f>
        <v>0.18586374667560959</v>
      </c>
    </row>
    <row r="98" spans="2:35" ht="15.75" thickBot="1" x14ac:dyDescent="0.3">
      <c r="B98" s="118"/>
      <c r="C98" s="118"/>
      <c r="D98" s="110"/>
      <c r="E98" s="110"/>
      <c r="F98" s="110"/>
      <c r="G98" s="126">
        <f>+G97/H90</f>
        <v>1881284.0387333333</v>
      </c>
      <c r="H98" s="184" t="s">
        <v>121</v>
      </c>
      <c r="I98" s="177"/>
      <c r="J98" s="177">
        <f>+J97/H90</f>
        <v>971109.62559999991</v>
      </c>
      <c r="K98" s="128"/>
      <c r="L98" s="185"/>
      <c r="M98" s="110"/>
      <c r="N98" s="126"/>
      <c r="Q98" s="8"/>
      <c r="T98" s="118"/>
      <c r="U98" s="109" t="s">
        <v>91</v>
      </c>
      <c r="V98" s="174">
        <f>+V81*$V$57*$W$57</f>
        <v>890553.83040000009</v>
      </c>
      <c r="W98" s="174">
        <f t="shared" ref="W98:AC98" si="50">+W81*$V$57*$W$57</f>
        <v>890553.83040000009</v>
      </c>
      <c r="X98" s="174">
        <f t="shared" si="50"/>
        <v>890553.83040000009</v>
      </c>
      <c r="Y98" s="174">
        <f t="shared" si="50"/>
        <v>890553.83040000009</v>
      </c>
      <c r="Z98" s="174">
        <f t="shared" si="50"/>
        <v>890553.83040000009</v>
      </c>
      <c r="AA98" s="174">
        <f t="shared" si="50"/>
        <v>890553.83040000009</v>
      </c>
      <c r="AB98" s="174">
        <f t="shared" si="50"/>
        <v>0</v>
      </c>
      <c r="AC98" s="174">
        <f t="shared" si="50"/>
        <v>0</v>
      </c>
      <c r="AD98" s="174">
        <f t="shared" ref="AD98:AG98" si="51">+AD81*$V$57*$W$57</f>
        <v>0</v>
      </c>
      <c r="AE98" s="174">
        <f t="shared" si="51"/>
        <v>0</v>
      </c>
      <c r="AF98" s="174">
        <f t="shared" si="51"/>
        <v>0</v>
      </c>
      <c r="AG98" s="174">
        <f t="shared" si="51"/>
        <v>0</v>
      </c>
      <c r="AH98" s="126">
        <f>SUM(V98:AG98)</f>
        <v>5343322.982400001</v>
      </c>
      <c r="AI98" s="173">
        <f>+AH98/$W$57</f>
        <v>134.78400000000002</v>
      </c>
    </row>
    <row r="99" spans="2:35" ht="15.75" thickBot="1" x14ac:dyDescent="0.3">
      <c r="B99" s="118"/>
      <c r="C99" s="118"/>
      <c r="D99" s="110"/>
      <c r="E99" s="110"/>
      <c r="F99" s="111" t="s">
        <v>90</v>
      </c>
      <c r="G99" s="124"/>
      <c r="H99" s="128"/>
      <c r="I99" s="128"/>
      <c r="J99" s="182">
        <f>+G97-J97</f>
        <v>5461046.4788000006</v>
      </c>
      <c r="K99" s="110"/>
      <c r="L99" s="119"/>
      <c r="M99" s="110"/>
      <c r="N99" s="110"/>
      <c r="Q99" s="8"/>
      <c r="T99" s="118"/>
      <c r="U99" s="109"/>
      <c r="V99" s="174"/>
      <c r="W99" s="174"/>
      <c r="X99" s="174"/>
      <c r="Y99" s="174"/>
      <c r="Z99" s="174"/>
      <c r="AA99" s="174"/>
      <c r="AB99" s="174"/>
      <c r="AC99" s="174"/>
      <c r="AD99" s="110"/>
      <c r="AE99" s="110"/>
      <c r="AF99" s="110"/>
      <c r="AG99" s="110"/>
      <c r="AH99" s="110"/>
      <c r="AI99" s="175">
        <f>+AI98/$AI$101</f>
        <v>0.47337553078885902</v>
      </c>
    </row>
    <row r="100" spans="2:35" ht="15.75" thickBot="1" x14ac:dyDescent="0.3">
      <c r="B100" s="118"/>
      <c r="C100" s="127"/>
      <c r="D100" s="128"/>
      <c r="E100" s="128"/>
      <c r="F100" s="130"/>
      <c r="G100" s="124"/>
      <c r="H100" s="124"/>
      <c r="I100" s="124"/>
      <c r="J100" s="132">
        <f>+(G97-J97)/G95</f>
        <v>0.48380488772240526</v>
      </c>
      <c r="K100" s="128"/>
      <c r="L100" s="133"/>
      <c r="M100" s="110"/>
      <c r="N100" s="110"/>
      <c r="Q100" s="8"/>
      <c r="T100" s="118"/>
      <c r="U100" s="110"/>
      <c r="V100" s="126"/>
      <c r="W100" s="126"/>
      <c r="X100" s="174"/>
      <c r="Y100" s="126"/>
      <c r="Z100" s="126"/>
      <c r="AA100" s="126"/>
      <c r="AB100" s="126"/>
      <c r="AC100" s="126"/>
      <c r="AD100" s="110"/>
      <c r="AE100" s="110"/>
      <c r="AF100" s="110"/>
      <c r="AG100" s="110"/>
      <c r="AH100" s="110"/>
      <c r="AI100" s="119"/>
    </row>
    <row r="101" spans="2:35" x14ac:dyDescent="0.25">
      <c r="B101" s="7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T101" s="118"/>
      <c r="U101" s="109" t="s">
        <v>67</v>
      </c>
      <c r="V101" s="126">
        <f>+V98+V96+V91</f>
        <v>1639282.9970666668</v>
      </c>
      <c r="W101" s="126">
        <f t="shared" ref="W101:AG101" si="52">+W98+W96+W91</f>
        <v>1649335.0804000001</v>
      </c>
      <c r="X101" s="126">
        <f t="shared" si="52"/>
        <v>1675470.4970666668</v>
      </c>
      <c r="Y101" s="126">
        <f t="shared" si="52"/>
        <v>1623199.6637333333</v>
      </c>
      <c r="Z101" s="126">
        <f t="shared" si="52"/>
        <v>1635262.1637333333</v>
      </c>
      <c r="AA101" s="126">
        <f t="shared" si="52"/>
        <v>3065153.8304000003</v>
      </c>
      <c r="AB101" s="126">
        <f t="shared" si="52"/>
        <v>0</v>
      </c>
      <c r="AC101" s="126">
        <f t="shared" si="52"/>
        <v>0</v>
      </c>
      <c r="AD101" s="126">
        <f t="shared" si="52"/>
        <v>0</v>
      </c>
      <c r="AE101" s="126">
        <f t="shared" si="52"/>
        <v>0</v>
      </c>
      <c r="AF101" s="126">
        <f t="shared" si="52"/>
        <v>0</v>
      </c>
      <c r="AG101" s="126">
        <f t="shared" si="52"/>
        <v>0</v>
      </c>
      <c r="AH101" s="126">
        <f>SUM(V101:AG101)</f>
        <v>11287704.2324</v>
      </c>
      <c r="AI101" s="173">
        <f>+AH101/$W$57</f>
        <v>284.72954606544312</v>
      </c>
    </row>
    <row r="102" spans="2:35" ht="15.75" thickBot="1" x14ac:dyDescent="0.3">
      <c r="B102" s="7"/>
      <c r="C102" s="7"/>
      <c r="D102" s="1">
        <f>+D83</f>
        <v>1</v>
      </c>
      <c r="E102" s="1">
        <f t="shared" ref="E102:O102" si="53">+E83</f>
        <v>2</v>
      </c>
      <c r="F102" s="1">
        <f t="shared" si="53"/>
        <v>3</v>
      </c>
      <c r="G102" s="1">
        <f t="shared" si="53"/>
        <v>4</v>
      </c>
      <c r="H102" s="1">
        <f t="shared" si="53"/>
        <v>5</v>
      </c>
      <c r="I102" s="1">
        <f t="shared" si="53"/>
        <v>6</v>
      </c>
      <c r="J102" s="1">
        <f t="shared" si="53"/>
        <v>7</v>
      </c>
      <c r="K102" s="1">
        <f t="shared" si="53"/>
        <v>8</v>
      </c>
      <c r="L102" s="1">
        <f t="shared" si="53"/>
        <v>9</v>
      </c>
      <c r="M102" s="1">
        <f t="shared" si="53"/>
        <v>10</v>
      </c>
      <c r="N102" s="1">
        <f t="shared" si="53"/>
        <v>11</v>
      </c>
      <c r="O102" s="1">
        <f t="shared" si="53"/>
        <v>12</v>
      </c>
      <c r="Q102" s="8"/>
      <c r="T102" s="127"/>
      <c r="U102" s="128"/>
      <c r="V102" s="177"/>
      <c r="W102" s="177"/>
      <c r="X102" s="177"/>
      <c r="Y102" s="177"/>
      <c r="Z102" s="177"/>
      <c r="AA102" s="177"/>
      <c r="AB102" s="177"/>
      <c r="AC102" s="177"/>
      <c r="AD102" s="128"/>
      <c r="AE102" s="128"/>
      <c r="AF102" s="128"/>
      <c r="AG102" s="128"/>
      <c r="AH102" s="128"/>
      <c r="AI102" s="178">
        <f>+AI101/$AI$101</f>
        <v>1</v>
      </c>
    </row>
    <row r="103" spans="2:35" x14ac:dyDescent="0.25">
      <c r="B103" s="7"/>
      <c r="C103" s="9" t="s">
        <v>92</v>
      </c>
      <c r="D103" s="105">
        <f t="shared" ref="D103:O103" si="54">+D87*$W$57+$J$96</f>
        <v>879136.47359999991</v>
      </c>
      <c r="E103" s="105">
        <f t="shared" si="54"/>
        <v>1018047.6479999999</v>
      </c>
      <c r="F103" s="105">
        <f t="shared" si="54"/>
        <v>1132221.216</v>
      </c>
      <c r="G103" s="105">
        <f t="shared" si="54"/>
        <v>1037076.5759999999</v>
      </c>
      <c r="H103" s="105">
        <f t="shared" si="54"/>
        <v>989504.25599999982</v>
      </c>
      <c r="I103" s="105">
        <f t="shared" si="54"/>
        <v>770671.58399999992</v>
      </c>
      <c r="J103" s="105">
        <f t="shared" si="54"/>
        <v>0</v>
      </c>
      <c r="K103" s="105">
        <f t="shared" si="54"/>
        <v>0</v>
      </c>
      <c r="L103" s="105">
        <f t="shared" si="54"/>
        <v>0</v>
      </c>
      <c r="M103" s="105">
        <f t="shared" si="54"/>
        <v>0</v>
      </c>
      <c r="N103" s="105">
        <f t="shared" si="54"/>
        <v>0</v>
      </c>
      <c r="O103" s="105">
        <f t="shared" si="54"/>
        <v>0</v>
      </c>
      <c r="P103" s="73">
        <f>SUM(D103:O103)</f>
        <v>5826657.7535999995</v>
      </c>
      <c r="Q103" s="106"/>
      <c r="T103" s="7"/>
      <c r="AI103" s="8"/>
    </row>
    <row r="104" spans="2:35" x14ac:dyDescent="0.25">
      <c r="B104" s="7"/>
      <c r="C104" s="9" t="s">
        <v>93</v>
      </c>
      <c r="D104" s="105">
        <f t="shared" ref="D104:K104" si="55">+V101</f>
        <v>1639282.9970666668</v>
      </c>
      <c r="E104" s="105">
        <f t="shared" si="55"/>
        <v>1649335.0804000001</v>
      </c>
      <c r="F104" s="105">
        <f t="shared" si="55"/>
        <v>1675470.4970666668</v>
      </c>
      <c r="G104" s="105">
        <f t="shared" si="55"/>
        <v>1623199.6637333333</v>
      </c>
      <c r="H104" s="105">
        <f t="shared" si="55"/>
        <v>1635262.1637333333</v>
      </c>
      <c r="I104" s="105">
        <f t="shared" si="55"/>
        <v>3065153.8304000003</v>
      </c>
      <c r="J104" s="105">
        <f t="shared" si="55"/>
        <v>0</v>
      </c>
      <c r="K104" s="105">
        <f t="shared" si="55"/>
        <v>0</v>
      </c>
      <c r="L104" s="105">
        <f t="shared" ref="L104" si="56">+AD101</f>
        <v>0</v>
      </c>
      <c r="M104" s="105">
        <f t="shared" ref="M104" si="57">+AE101</f>
        <v>0</v>
      </c>
      <c r="N104" s="105">
        <f t="shared" ref="N104" si="58">+AF101</f>
        <v>0</v>
      </c>
      <c r="O104" s="105">
        <f t="shared" ref="O104" si="59">+AG101</f>
        <v>0</v>
      </c>
      <c r="P104" s="73">
        <f>SUM(D104:O104)</f>
        <v>11287704.2324</v>
      </c>
      <c r="Q104" s="8"/>
      <c r="T104" s="7"/>
      <c r="AI104" s="8"/>
    </row>
    <row r="105" spans="2:35" ht="15.75" thickBot="1" x14ac:dyDescent="0.3">
      <c r="B105" s="18"/>
      <c r="C105" s="18"/>
      <c r="D105" s="20"/>
      <c r="E105" s="79"/>
      <c r="F105" s="80"/>
      <c r="G105" s="20"/>
      <c r="H105" s="81"/>
      <c r="I105" s="80"/>
      <c r="J105" s="80"/>
      <c r="K105" s="80"/>
      <c r="L105" s="80"/>
      <c r="M105" s="80"/>
      <c r="N105" s="80"/>
      <c r="O105" s="80"/>
      <c r="P105" s="189">
        <f>P104-P103</f>
        <v>5461046.4788000006</v>
      </c>
      <c r="Q105" s="190" t="s">
        <v>143</v>
      </c>
      <c r="T105" s="18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1"/>
    </row>
    <row r="106" spans="2:35" x14ac:dyDescent="0.25">
      <c r="D106"/>
      <c r="E106" s="82"/>
      <c r="F106" s="76"/>
      <c r="G106"/>
      <c r="H106" s="82"/>
      <c r="I106" s="76"/>
      <c r="J106" s="76"/>
      <c r="K106" s="76"/>
      <c r="L106" s="76"/>
      <c r="M106" s="76"/>
      <c r="N106" s="76"/>
      <c r="O106" s="76"/>
    </row>
    <row r="107" spans="2:35" x14ac:dyDescent="0.25">
      <c r="U107" s="2" t="s">
        <v>94</v>
      </c>
    </row>
    <row r="108" spans="2:35" x14ac:dyDescent="0.25">
      <c r="E108"/>
      <c r="I108" s="77"/>
      <c r="J108" s="77"/>
      <c r="K108" s="77"/>
      <c r="L108" s="77"/>
      <c r="M108" s="77"/>
      <c r="N108" s="77"/>
      <c r="O108" s="77"/>
      <c r="U108" t="s">
        <v>95</v>
      </c>
    </row>
    <row r="109" spans="2:35" x14ac:dyDescent="0.25">
      <c r="U109" t="s">
        <v>96</v>
      </c>
    </row>
    <row r="110" spans="2:35" x14ac:dyDescent="0.25">
      <c r="U110" t="s">
        <v>97</v>
      </c>
    </row>
    <row r="111" spans="2:35" x14ac:dyDescent="0.25">
      <c r="U111" t="s">
        <v>98</v>
      </c>
    </row>
    <row r="112" spans="2:35" x14ac:dyDescent="0.25">
      <c r="U112" t="s">
        <v>99</v>
      </c>
    </row>
    <row r="113" spans="21:21" x14ac:dyDescent="0.25">
      <c r="U113" t="s">
        <v>100</v>
      </c>
    </row>
    <row r="114" spans="21:21" x14ac:dyDescent="0.25">
      <c r="U114" t="s">
        <v>101</v>
      </c>
    </row>
    <row r="115" spans="21:21" x14ac:dyDescent="0.25">
      <c r="U115" t="s">
        <v>102</v>
      </c>
    </row>
    <row r="116" spans="21:21" x14ac:dyDescent="0.25">
      <c r="U116" t="s">
        <v>103</v>
      </c>
    </row>
    <row r="117" spans="21:21" x14ac:dyDescent="0.25">
      <c r="U117" s="1" t="s">
        <v>106</v>
      </c>
    </row>
    <row r="118" spans="21:21" x14ac:dyDescent="0.25">
      <c r="U118" t="s">
        <v>107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Salustio prieto</dc:creator>
  <cp:lastModifiedBy>Nolazco Candia</cp:lastModifiedBy>
  <dcterms:created xsi:type="dcterms:W3CDTF">2025-07-21T17:05:13Z</dcterms:created>
  <dcterms:modified xsi:type="dcterms:W3CDTF">2025-11-27T13:24:25Z</dcterms:modified>
</cp:coreProperties>
</file>